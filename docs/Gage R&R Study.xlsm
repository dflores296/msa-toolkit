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ESA763142\Desktop\Herramientas\"/>
    </mc:Choice>
  </mc:AlternateContent>
  <xr:revisionPtr revIDLastSave="0" documentId="13_ncr:1_{8480582B-BE74-4CEA-922A-2518078E6436}" xr6:coauthVersionLast="47" xr6:coauthVersionMax="47" xr10:uidLastSave="{00000000-0000-0000-0000-000000000000}"/>
  <bookViews>
    <workbookView xWindow="-110" yWindow="-110" windowWidth="19420" windowHeight="10300" activeTab="6" xr2:uid="{9C531FBE-EF90-46E5-8018-8AB1964B41ED}"/>
  </bookViews>
  <sheets>
    <sheet name="MSA_Control" sheetId="2" r:id="rId1"/>
    <sheet name="MSA_Datos" sheetId="1" r:id="rId2"/>
    <sheet name="MP_Calculos" sheetId="3" state="hidden" r:id="rId3"/>
    <sheet name="MO_Calculos" sheetId="4" state="hidden" r:id="rId4"/>
    <sheet name="MPO_Calculos" sheetId="5" state="hidden" r:id="rId5"/>
    <sheet name="SS_Calculos" sheetId="6" state="hidden" r:id="rId6"/>
    <sheet name="Varianza" sheetId="7" r:id="rId7"/>
    <sheet name="Graficos" sheetId="17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6" l="1"/>
  <c r="B6" i="6"/>
  <c r="D5" i="6"/>
  <c r="D4" i="6"/>
  <c r="D3" i="6"/>
  <c r="D2" i="6"/>
</calcChain>
</file>

<file path=xl/sharedStrings.xml><?xml version="1.0" encoding="utf-8"?>
<sst xmlns="http://schemas.openxmlformats.org/spreadsheetml/2006/main" count="261" uniqueCount="77">
  <si>
    <t>Corrida</t>
  </si>
  <si>
    <t>Operador</t>
  </si>
  <si>
    <t>Medición</t>
  </si>
  <si>
    <t>Parte</t>
  </si>
  <si>
    <t>Parte 1</t>
  </si>
  <si>
    <t>Parte 2</t>
  </si>
  <si>
    <t>Parte 3</t>
  </si>
  <si>
    <t>Parte 4</t>
  </si>
  <si>
    <t>Monica</t>
  </si>
  <si>
    <t>Pieza</t>
  </si>
  <si>
    <t>Promedio</t>
  </si>
  <si>
    <t>Fuente de variación</t>
  </si>
  <si>
    <t>Grados de libertad</t>
  </si>
  <si>
    <t>Suma de cuadrados</t>
  </si>
  <si>
    <t>Cuadrado medio</t>
  </si>
  <si>
    <t>Interacción Operador-Parte</t>
  </si>
  <si>
    <t>Repetibilidad</t>
  </si>
  <si>
    <t>Total</t>
  </si>
  <si>
    <t>Tabla 1. Componentes de varianza</t>
  </si>
  <si>
    <t>Varianza</t>
  </si>
  <si>
    <t>% Contribución</t>
  </si>
  <si>
    <t>Total Gage R&amp;R</t>
  </si>
  <si>
    <t>Repeatability</t>
  </si>
  <si>
    <t>Reproducibility</t>
  </si>
  <si>
    <t>Operator</t>
  </si>
  <si>
    <t>Operator by Part</t>
  </si>
  <si>
    <t>Part-to-Part</t>
  </si>
  <si>
    <t>Total Variation</t>
  </si>
  <si>
    <t>Tabla 2. Evaluación del sistema de medición</t>
  </si>
  <si>
    <t>StDev</t>
  </si>
  <si>
    <t>Study Variation</t>
  </si>
  <si>
    <t>%Study Variation</t>
  </si>
  <si>
    <t>%Tolerance</t>
  </si>
  <si>
    <t>Total Gage</t>
  </si>
  <si>
    <t xml:space="preserve">  Operator</t>
  </si>
  <si>
    <t xml:space="preserve">  Operator by Part</t>
  </si>
  <si>
    <t>NOTA. Los porcentajes de contribución se calculan con base en la varianza total estimada.</t>
  </si>
  <si>
    <t>NOTA. Study Variation se calcula como desviación estándar multiplicada por 6.</t>
  </si>
  <si>
    <t>Fuente</t>
  </si>
  <si>
    <t>%Contribución</t>
  </si>
  <si>
    <t>Promedio de medición</t>
  </si>
  <si>
    <t>Etiqueta</t>
  </si>
  <si>
    <t>Rango</t>
  </si>
  <si>
    <t>Monica - Parte 1</t>
  </si>
  <si>
    <t>Monica - Parte 2</t>
  </si>
  <si>
    <t>Monica - Parte 3</t>
  </si>
  <si>
    <t>Monica - Parte 4</t>
  </si>
  <si>
    <t>Media</t>
  </si>
  <si>
    <t>Categoría</t>
  </si>
  <si>
    <t>%Valor</t>
  </si>
  <si>
    <t>%Resto</t>
  </si>
  <si>
    <t>Total Gage – Study Variation</t>
  </si>
  <si>
    <t>Total Gage – Tolerance</t>
  </si>
  <si>
    <t>David</t>
  </si>
  <si>
    <t>David - Parte 1</t>
  </si>
  <si>
    <t>David - Parte 2</t>
  </si>
  <si>
    <t>David - Parte 3</t>
  </si>
  <si>
    <t>David - Parte 4</t>
  </si>
  <si>
    <t>Parte 5</t>
  </si>
  <si>
    <t>David - Parte 5</t>
  </si>
  <si>
    <t>Monica - Parte 5</t>
  </si>
  <si>
    <t>Parte 6</t>
  </si>
  <si>
    <t>Parte 7</t>
  </si>
  <si>
    <t>Parte 8</t>
  </si>
  <si>
    <t>Parte 9</t>
  </si>
  <si>
    <t>Parte 10</t>
  </si>
  <si>
    <t>David - Parte 6</t>
  </si>
  <si>
    <t>David - Parte 7</t>
  </si>
  <si>
    <t>David - Parte 8</t>
  </si>
  <si>
    <t>David - Parte 9</t>
  </si>
  <si>
    <t>David - Parte 10</t>
  </si>
  <si>
    <t>Monica - Parte 6</t>
  </si>
  <si>
    <t>Monica - Parte 7</t>
  </si>
  <si>
    <t>Monica - Parte 8</t>
  </si>
  <si>
    <t>Monica - Parte 9</t>
  </si>
  <si>
    <t>Monica - Parte 10</t>
  </si>
  <si>
    <t>NOTA. Número de categorías distintas (NDC) = 27.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</si>
</sst>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00"/>
    <numFmt numFmtId="165" formatCode="0.000000"/>
  </numFmts>
  <fonts count="6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0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164" fontId="0" fillId="0" borderId="0" xfId="0" applyNumberFormat="1"/>
    <xf numFmtId="164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5" fontId="3" fillId="0" borderId="1" xfId="0" applyNumberFormat="1" applyFon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165" fontId="0" fillId="0" borderId="0" xfId="0" applyNumberFormat="1" applyAlignment="1">
      <alignment horizontal="center"/>
    </xf>
    <xf numFmtId="0" fontId="0" fillId="0" borderId="0" xfId="0" applyFont="1" applyAlignment="1">
      <alignment horizontal="center" vertical="center"/>
    </xf>
    <xf numFmtId="164" fontId="0" fillId="0" borderId="0" xfId="0" applyNumberFormat="1" applyFont="1" applyAlignment="1">
      <alignment horizontal="center" vertical="center"/>
    </xf>
    <xf numFmtId="10" fontId="0" fillId="0" borderId="0" xfId="0" applyNumberFormat="1" applyFont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164" fontId="0" fillId="0" borderId="3" xfId="0" applyNumberFormat="1" applyFont="1" applyBorder="1" applyAlignment="1">
      <alignment horizontal="center" vertical="center"/>
    </xf>
    <xf numFmtId="10" fontId="0" fillId="0" borderId="3" xfId="0" applyNumberFormat="1" applyFont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/>
    </xf>
    <xf numFmtId="0" fontId="0" fillId="0" borderId="2" xfId="0" applyFont="1" applyBorder="1" applyAlignment="1">
      <alignment horizontal="left" vertical="center"/>
    </xf>
    <xf numFmtId="0" fontId="0" fillId="0" borderId="3" xfId="0" applyFont="1" applyBorder="1" applyAlignment="1">
      <alignment horizontal="left" vertical="center"/>
    </xf>
    <xf numFmtId="0" fontId="4" fillId="0" borderId="0" xfId="0" applyFont="1" applyAlignment="1">
      <alignment vertical="center"/>
    </xf>
    <xf numFmtId="0" fontId="4" fillId="0" borderId="0" xfId="0" applyFont="1" applyAlignment="1"/>
    <xf numFmtId="10" fontId="0" fillId="0" borderId="1" xfId="0" applyNumberFormat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11" fontId="0" fillId="0" borderId="0" xfId="0" applyNumberFormat="1" applyFont="1" applyAlignment="1">
      <alignment horizontal="center" vertical="center"/>
    </xf>
    <xf numFmtId="11" fontId="0" fillId="0" borderId="3" xfId="0" applyNumberFormat="1" applyFont="1" applyBorder="1" applyAlignment="1">
      <alignment horizontal="center" vertical="center"/>
    </xf>
  </cellXfs>
  <cellStyles count="1">
    <cellStyle name="Normal" xfId="0" builtinId="0"/>
  </cellStyles>
  <dxfs count="23">
    <dxf>
      <font>
        <b/>
        <color rgb="FFFFFFFF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</dxf>
    <dxf>
      <font>
        <b/>
        <color rgb="FFFFFFFF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</dxf>
    <dxf>
      <numFmt numFmtId="14" formatCode="0.00%"/>
      <border outline="0">
        <left style="thin">
          <color indexed="64"/>
        </left>
      </border>
    </dxf>
    <dxf>
      <numFmt numFmtId="14" formatCode="0.00%"/>
      <border outline="0">
        <left style="thin">
          <color indexed="64"/>
        </left>
        <right style="thin">
          <color indexed="64"/>
        </right>
      </border>
    </dxf>
    <dxf>
      <numFmt numFmtId="14" formatCode="0.00%"/>
      <border outline="0">
        <right style="thin">
          <color indexed="64"/>
        </right>
      </border>
    </dxf>
    <dxf>
      <border outline="0">
        <right style="thin">
          <color indexed="64"/>
        </right>
      </border>
    </dxf>
    <dxf>
      <numFmt numFmtId="165" formatCode="0.000000"/>
      <alignment horizontal="center" vertical="bottom" textRotation="0" wrapText="0" indent="0" justifyLastLine="0" shrinkToFit="0" readingOrder="0"/>
    </dxf>
    <dxf>
      <numFmt numFmtId="165" formatCode="0.00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numFmt numFmtId="165" formatCode="0.000000"/>
    </dxf>
    <dxf>
      <font>
        <b/>
      </font>
      <alignment horizontal="center" vertical="bottom" textRotation="0" wrapText="0" indent="0" justifyLastLine="0" shrinkToFit="0" readingOrder="0"/>
    </dxf>
    <dxf>
      <numFmt numFmtId="165" formatCode="0.000000"/>
    </dxf>
    <dxf>
      <font>
        <b/>
      </font>
      <alignment horizontal="center" vertical="bottom" textRotation="0" wrapText="0" indent="0" justifyLastLine="0" shrinkToFit="0" readingOrder="0"/>
    </dxf>
    <dxf>
      <numFmt numFmtId="165" formatCode="0.000000"/>
    </dxf>
    <dxf>
      <font>
        <b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1386511A-4CEF-47DD-B9BB-F70DD41AC43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latin typeface="Arial" panose="020B0604020202020204" pitchFamily="34" charset="0"/>
              </a:defRPr>
            </a:pPr>
            <a:r>
              <a:rPr lang="es-MX" sz="1200" b="1">
                <a:latin typeface="Arial" panose="020B0604020202020204" pitchFamily="34" charset="0"/>
              </a:rPr>
              <a:t>Componentes de Variación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Graficos!$U$2</c:f>
              <c:strCache>
                <c:ptCount val="1"/>
                <c:pt idx="0">
                  <c:v>%Contribución</c:v>
                </c:pt>
              </c:strCache>
            </c:strRef>
          </c:tx>
          <c:spPr>
            <a:solidFill>
              <a:srgbClr val="0070C0"/>
            </a:solidFill>
            <a:ln w="9525">
              <a:solidFill>
                <a:srgbClr val="000000"/>
              </a:solidFill>
            </a:ln>
          </c:spPr>
          <c:invertIfNegative val="0"/>
          <c:cat>
            <c:strRef>
              <c:f>Graficos!$T$3:$T$6</c:f>
              <c:strCache>
                <c:ptCount val="4"/>
                <c:pt idx="0">
                  <c:v>Total Gage R&amp;R</c:v>
                </c:pt>
                <c:pt idx="1">
                  <c:v>Repeatability</c:v>
                </c:pt>
                <c:pt idx="2">
                  <c:v>Reproducibility</c:v>
                </c:pt>
                <c:pt idx="3">
                  <c:v>Part-to-Part</c:v>
                </c:pt>
              </c:strCache>
            </c:strRef>
          </c:cat>
          <c:val>
            <c:numRef>
              <c:f>Graficos!$U$3:$U$6</c:f>
              <c:numCache>
                <c:formatCode>0.00%</c:formatCode>
                <c:ptCount val="4"/>
                <c:pt idx="0">
                  <c:v>2.5954958970191163E-3</c:v>
                </c:pt>
                <c:pt idx="1">
                  <c:v>1.4157250347376739E-3</c:v>
                </c:pt>
                <c:pt idx="2">
                  <c:v>1.1797708622814421E-3</c:v>
                </c:pt>
                <c:pt idx="3">
                  <c:v>0.99740450410298087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34-4F3A-9DE6-DFE1DE05A06E}"/>
            </c:ext>
          </c:extLst>
        </c:ser>
        <c:ser>
          <c:idx val="1"/>
          <c:order val="1"/>
          <c:tx>
            <c:strRef>
              <c:f>Graficos!$V$2</c:f>
              <c:strCache>
                <c:ptCount val="1"/>
                <c:pt idx="0">
                  <c:v>%Study Variation</c:v>
                </c:pt>
              </c:strCache>
            </c:strRef>
          </c:tx>
          <c:spPr>
            <a:solidFill>
              <a:srgbClr val="C00000"/>
            </a:solidFill>
            <a:ln w="9525">
              <a:solidFill>
                <a:srgbClr val="000000"/>
              </a:solidFill>
            </a:ln>
          </c:spPr>
          <c:invertIfNegative val="0"/>
          <c:cat>
            <c:strRef>
              <c:f>Graficos!$T$3:$T$6</c:f>
              <c:strCache>
                <c:ptCount val="4"/>
                <c:pt idx="0">
                  <c:v>Total Gage R&amp;R</c:v>
                </c:pt>
                <c:pt idx="1">
                  <c:v>Repeatability</c:v>
                </c:pt>
                <c:pt idx="2">
                  <c:v>Reproducibility</c:v>
                </c:pt>
                <c:pt idx="3">
                  <c:v>Part-to-Part</c:v>
                </c:pt>
              </c:strCache>
            </c:strRef>
          </c:cat>
          <c:val>
            <c:numRef>
              <c:f>Graficos!$V$3:$V$6</c:f>
              <c:numCache>
                <c:formatCode>0.00%</c:formatCode>
                <c:ptCount val="4"/>
                <c:pt idx="0">
                  <c:v>5.094600962802795E-2</c:v>
                </c:pt>
                <c:pt idx="1">
                  <c:v>3.7626121707368058E-2</c:v>
                </c:pt>
                <c:pt idx="2">
                  <c:v>3.4347792684267825E-2</c:v>
                </c:pt>
                <c:pt idx="3">
                  <c:v>0.99870140888204462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34-4F3A-9DE6-DFE1DE05A0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1780031"/>
        <c:axId val="1061780991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Graficos!$W$2</c15:sqref>
                        </c15:formulaRef>
                      </c:ext>
                    </c:extLst>
                    <c:strCache>
                      <c:ptCount val="1"/>
                      <c:pt idx="0">
                        <c:v>%Tolerance</c:v>
                      </c:pt>
                    </c:strCache>
                  </c:strRef>
                </c:tx>
                <c:spPr>
                  <a:solidFill>
                    <a:srgbClr val="FFC000"/>
                  </a:solidFill>
                  <a:ln w="9525">
                    <a:solidFill>
                      <a:srgbClr val="000000"/>
                    </a:solidFill>
                  </a:ln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Graficos!$T$3:$T$6</c15:sqref>
                        </c15:formulaRef>
                      </c:ext>
                    </c:extLst>
                    <c:strCache>
                      <c:ptCount val="4"/>
                      <c:pt idx="0">
                        <c:v>Total Gage R&amp;R</c:v>
                      </c:pt>
                      <c:pt idx="1">
                        <c:v>Repeatability</c:v>
                      </c:pt>
                      <c:pt idx="2">
                        <c:v>Reproducibility</c:v>
                      </c:pt>
                      <c:pt idx="3">
                        <c:v>Part-to-Part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Graficos!$W$3:$W$6</c15:sqref>
                        </c15:formulaRef>
                      </c:ext>
                    </c:extLst>
                    <c:numCache>
                      <c:formatCode>0.00%</c:formatCode>
                      <c:ptCount val="4"/>
                      <c:pt idx="0">
                        <c:v>0.10488088481701517</c:v>
                      </c:pt>
                      <c:pt idx="1">
                        <c:v>7.745966692414763E-2</c:v>
                      </c:pt>
                      <c:pt idx="2">
                        <c:v>7.0710678118655529E-2</c:v>
                      </c:pt>
                      <c:pt idx="3">
                        <c:v>2.0559939472457365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4834-4F3A-9DE6-DFE1DE05A06E}"/>
                  </c:ext>
                </c:extLst>
              </c15:ser>
            </c15:filteredBarSeries>
          </c:ext>
        </c:extLst>
      </c:barChart>
      <c:catAx>
        <c:axId val="10617800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Fuente de variación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Arial"/>
                <a:ea typeface="Arial"/>
                <a:cs typeface="Arial"/>
              </a:defRPr>
            </a:pPr>
            <a:endParaRPr lang="es-MX"/>
          </a:p>
        </c:txPr>
        <c:crossAx val="1061780991"/>
        <c:crosses val="autoZero"/>
        <c:auto val="1"/>
        <c:lblAlgn val="ctr"/>
        <c:lblOffset val="100"/>
        <c:noMultiLvlLbl val="0"/>
      </c:catAx>
      <c:valAx>
        <c:axId val="106178099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Porcentaje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Arial"/>
                <a:ea typeface="Arial"/>
                <a:cs typeface="Arial"/>
              </a:defRPr>
            </a:pPr>
            <a:endParaRPr lang="es-MX"/>
          </a:p>
        </c:txPr>
        <c:crossAx val="106178003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overlay val="0"/>
      <c:txPr>
        <a:bodyPr/>
        <a:lstStyle/>
        <a:p>
          <a:pPr>
            <a:defRPr sz="1000">
              <a:latin typeface="Arial" panose="020B0604020202020204" pitchFamily="34" charset="0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latin typeface="Arial"/>
                <a:ea typeface="Arial"/>
                <a:cs typeface="Arial"/>
              </a:defRPr>
            </a:pPr>
            <a:r>
              <a:rPr lang="es-MX"/>
              <a:t>Promedio de Mediciones por Parte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5875">
              <a:solidFill>
                <a:srgbClr val="0070C0"/>
              </a:solidFill>
            </a:ln>
          </c:spPr>
          <c:marker>
            <c:symbol val="circle"/>
            <c:size val="5"/>
            <c:spPr>
              <a:ln w="15875">
                <a:solidFill>
                  <a:srgbClr val="0070C0"/>
                </a:solidFill>
              </a:ln>
            </c:spPr>
          </c:marker>
          <c:cat>
            <c:strRef>
              <c:f>Graficos!$T$9:$T$18</c:f>
              <c:strCache>
                <c:ptCount val="10"/>
                <c:pt idx="0">
                  <c:v>Parte 1</c:v>
                </c:pt>
                <c:pt idx="1">
                  <c:v>Parte 2</c:v>
                </c:pt>
                <c:pt idx="2">
                  <c:v>Parte 3</c:v>
                </c:pt>
                <c:pt idx="3">
                  <c:v>Parte 4</c:v>
                </c:pt>
                <c:pt idx="4">
                  <c:v>Parte 5</c:v>
                </c:pt>
                <c:pt idx="5">
                  <c:v>Parte 6</c:v>
                </c:pt>
                <c:pt idx="6">
                  <c:v>Parte 7</c:v>
                </c:pt>
                <c:pt idx="7">
                  <c:v>Parte 8</c:v>
                </c:pt>
                <c:pt idx="8">
                  <c:v>Parte 9</c:v>
                </c:pt>
                <c:pt idx="9">
                  <c:v>Parte 10</c:v>
                </c:pt>
              </c:strCache>
            </c:strRef>
          </c:cat>
          <c:val>
            <c:numRef>
              <c:f>Graficos!$U$9:$U$18</c:f>
              <c:numCache>
                <c:formatCode>General</c:formatCode>
                <c:ptCount val="10"/>
                <c:pt idx="0">
                  <c:v>0.2392</c:v>
                </c:pt>
                <c:pt idx="1">
                  <c:v>0.23499999999999999</c:v>
                </c:pt>
                <c:pt idx="2">
                  <c:v>0.2412</c:v>
                </c:pt>
                <c:pt idx="3">
                  <c:v>0.26300000000000001</c:v>
                </c:pt>
                <c:pt idx="4">
                  <c:v>0.26019999999999999</c:v>
                </c:pt>
                <c:pt idx="5">
                  <c:v>0.254</c:v>
                </c:pt>
                <c:pt idx="6">
                  <c:v>0.24349999999999999</c:v>
                </c:pt>
                <c:pt idx="7">
                  <c:v>0.251</c:v>
                </c:pt>
                <c:pt idx="8">
                  <c:v>0.25750000000000001</c:v>
                </c:pt>
                <c:pt idx="9">
                  <c:v>0.26219999999999999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BA-4F67-A700-A605419C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1776191"/>
        <c:axId val="1061776671"/>
      </c:lineChart>
      <c:catAx>
        <c:axId val="10617761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>
                    <a:latin typeface="Arial"/>
                    <a:ea typeface="Arial"/>
                    <a:cs typeface="Arial"/>
                  </a:defRPr>
                </a:pPr>
                <a:r>
                  <a:rPr lang="es-MX"/>
                  <a:t>Parte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Arial"/>
                <a:ea typeface="Arial"/>
                <a:cs typeface="Arial"/>
              </a:defRPr>
            </a:pPr>
            <a:endParaRPr lang="es-MX"/>
          </a:p>
        </c:txPr>
        <c:crossAx val="1061776671"/>
        <c:crosses val="autoZero"/>
        <c:auto val="1"/>
        <c:lblAlgn val="ctr"/>
        <c:lblOffset val="100"/>
        <c:noMultiLvlLbl val="0"/>
      </c:catAx>
      <c:valAx>
        <c:axId val="1061776671"/>
        <c:scaling>
          <c:orientation val="minMax"/>
          <c:max val="0.26580000000000004"/>
          <c:min val="0.23219999999999999"/>
        </c:scaling>
        <c:delete val="0"/>
        <c:axPos val="l"/>
        <c:title>
          <c:tx>
            <c:rich>
              <a:bodyPr/>
              <a:lstStyle/>
              <a:p>
                <a:pPr>
                  <a:defRPr sz="1000">
                    <a:latin typeface="Arial"/>
                    <a:ea typeface="Arial"/>
                    <a:cs typeface="Arial"/>
                  </a:defRPr>
                </a:pPr>
                <a:r>
                  <a:rPr lang="es-MX"/>
                  <a:t>Promedio de medición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Arial"/>
                <a:ea typeface="Arial"/>
                <a:cs typeface="Arial"/>
              </a:defRPr>
            </a:pPr>
            <a:endParaRPr lang="es-MX"/>
          </a:p>
        </c:txPr>
        <c:crossAx val="106177619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latin typeface="Arial" panose="020B0604020202020204" pitchFamily="34" charset="0"/>
              </a:defRPr>
            </a:pPr>
            <a:r>
              <a:rPr lang="es-MX" sz="1200" b="1">
                <a:latin typeface="Arial" panose="020B0604020202020204" pitchFamily="34" charset="0"/>
              </a:rPr>
              <a:t>Gráfico R por Operador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Rango por pieza</c:v>
          </c:tx>
          <c:spPr>
            <a:ln w="15875">
              <a:solidFill>
                <a:srgbClr val="0070C0"/>
              </a:solidFill>
            </a:ln>
          </c:spPr>
          <c:marker>
            <c:symbol val="circle"/>
            <c:size val="5"/>
            <c:spPr>
              <a:ln w="15875">
                <a:solidFill>
                  <a:srgbClr val="0070C0"/>
                </a:solidFill>
              </a:ln>
            </c:spPr>
          </c:marker>
          <c:cat>
            <c:strLit>
              <c:ptCount val="20"/>
              <c:pt idx="0">
                <c:v>David - Parte 1</c:v>
              </c:pt>
              <c:pt idx="1">
                <c:v>David - Parte 2</c:v>
              </c:pt>
              <c:pt idx="2">
                <c:v>David - Parte 3</c:v>
              </c:pt>
              <c:pt idx="3">
                <c:v>David - Parte 4</c:v>
              </c:pt>
              <c:pt idx="4">
                <c:v>David - Parte 5</c:v>
              </c:pt>
              <c:pt idx="5">
                <c:v>David - Parte 6</c:v>
              </c:pt>
              <c:pt idx="6">
                <c:v>David - Parte 7</c:v>
              </c:pt>
              <c:pt idx="7">
                <c:v>David - Parte 8</c:v>
              </c:pt>
              <c:pt idx="8">
                <c:v>David - Parte 9</c:v>
              </c:pt>
              <c:pt idx="9">
                <c:v>David - Parte 10</c:v>
              </c:pt>
              <c:pt idx="10">
                <c:v>Monica - Parte 1</c:v>
              </c:pt>
              <c:pt idx="11">
                <c:v>Monica - Parte 2</c:v>
              </c:pt>
              <c:pt idx="12">
                <c:v>Monica - Parte 3</c:v>
              </c:pt>
              <c:pt idx="13">
                <c:v>Monica - Parte 4</c:v>
              </c:pt>
              <c:pt idx="14">
                <c:v>Monica - Parte 5</c:v>
              </c:pt>
              <c:pt idx="15">
                <c:v>Monica - Parte 6</c:v>
              </c:pt>
              <c:pt idx="16">
                <c:v>Monica - Parte 7</c:v>
              </c:pt>
              <c:pt idx="17">
                <c:v>Monica - Parte 8</c:v>
              </c:pt>
              <c:pt idx="18">
                <c:v>Monica - Parte 9</c:v>
              </c:pt>
              <c:pt idx="19">
                <c:v>Monica - Parte 10</c:v>
              </c:pt>
            </c:strLit>
          </c:cat>
          <c:val>
            <c:numLit>
              <c:formatCode>General</c:formatCode>
              <c:ptCount val="20"/>
              <c:pt idx="0">
                <c:v>1E-3</c:v>
              </c:pt>
              <c:pt idx="1">
                <c:v>1E-3</c:v>
              </c:pt>
              <c:pt idx="2">
                <c:v>1E-3</c:v>
              </c:pt>
              <c:pt idx="3">
                <c:v>0</c:v>
              </c:pt>
              <c:pt idx="4">
                <c:v>1E-3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1E-3</c:v>
              </c:pt>
              <c:pt idx="10">
                <c:v>0</c:v>
              </c:pt>
              <c:pt idx="11">
                <c:v>1E-3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DE73-4259-9E7D-F38FFE9D82D7}"/>
            </c:ext>
          </c:extLst>
        </c:ser>
        <c:ser>
          <c:idx val="1"/>
          <c:order val="1"/>
          <c:tx>
            <c:v>LCS = 0.001</c:v>
          </c:tx>
          <c:spPr>
            <a:ln w="15875">
              <a:solidFill>
                <a:srgbClr val="C00000"/>
              </a:solidFill>
              <a:prstDash val="dash"/>
            </a:ln>
          </c:spPr>
          <c:marker>
            <c:symbol val="none"/>
          </c:marker>
          <c:cat>
            <c:strLit>
              <c:ptCount val="20"/>
              <c:pt idx="0">
                <c:v>David - Parte 1</c:v>
              </c:pt>
              <c:pt idx="1">
                <c:v>David - Parte 2</c:v>
              </c:pt>
              <c:pt idx="2">
                <c:v>David - Parte 3</c:v>
              </c:pt>
              <c:pt idx="3">
                <c:v>David - Parte 4</c:v>
              </c:pt>
              <c:pt idx="4">
                <c:v>David - Parte 5</c:v>
              </c:pt>
              <c:pt idx="5">
                <c:v>David - Parte 6</c:v>
              </c:pt>
              <c:pt idx="6">
                <c:v>David - Parte 7</c:v>
              </c:pt>
              <c:pt idx="7">
                <c:v>David - Parte 8</c:v>
              </c:pt>
              <c:pt idx="8">
                <c:v>David - Parte 9</c:v>
              </c:pt>
              <c:pt idx="9">
                <c:v>David - Parte 10</c:v>
              </c:pt>
              <c:pt idx="10">
                <c:v>Monica - Parte 1</c:v>
              </c:pt>
              <c:pt idx="11">
                <c:v>Monica - Parte 2</c:v>
              </c:pt>
              <c:pt idx="12">
                <c:v>Monica - Parte 3</c:v>
              </c:pt>
              <c:pt idx="13">
                <c:v>Monica - Parte 4</c:v>
              </c:pt>
              <c:pt idx="14">
                <c:v>Monica - Parte 5</c:v>
              </c:pt>
              <c:pt idx="15">
                <c:v>Monica - Parte 6</c:v>
              </c:pt>
              <c:pt idx="16">
                <c:v>Monica - Parte 7</c:v>
              </c:pt>
              <c:pt idx="17">
                <c:v>Monica - Parte 8</c:v>
              </c:pt>
              <c:pt idx="18">
                <c:v>Monica - Parte 9</c:v>
              </c:pt>
              <c:pt idx="19">
                <c:v>Monica - Parte 10</c:v>
              </c:pt>
            </c:strLit>
          </c:cat>
          <c:val>
            <c:numLit>
              <c:formatCode>General</c:formatCode>
              <c:ptCount val="20"/>
              <c:pt idx="0">
                <c:v>9.8009999999999179E-4</c:v>
              </c:pt>
              <c:pt idx="1">
                <c:v>9.8009999999999179E-4</c:v>
              </c:pt>
              <c:pt idx="2">
                <c:v>9.8009999999999179E-4</c:v>
              </c:pt>
              <c:pt idx="3">
                <c:v>9.8009999999999179E-4</c:v>
              </c:pt>
              <c:pt idx="4">
                <c:v>9.8009999999999179E-4</c:v>
              </c:pt>
              <c:pt idx="5">
                <c:v>9.8009999999999179E-4</c:v>
              </c:pt>
              <c:pt idx="6">
                <c:v>9.8009999999999179E-4</c:v>
              </c:pt>
              <c:pt idx="7">
                <c:v>9.8009999999999179E-4</c:v>
              </c:pt>
              <c:pt idx="8">
                <c:v>9.8009999999999179E-4</c:v>
              </c:pt>
              <c:pt idx="9">
                <c:v>9.8009999999999179E-4</c:v>
              </c:pt>
              <c:pt idx="10">
                <c:v>9.8009999999999179E-4</c:v>
              </c:pt>
              <c:pt idx="11">
                <c:v>9.8009999999999179E-4</c:v>
              </c:pt>
              <c:pt idx="12">
                <c:v>9.8009999999999179E-4</c:v>
              </c:pt>
              <c:pt idx="13">
                <c:v>9.8009999999999179E-4</c:v>
              </c:pt>
              <c:pt idx="14">
                <c:v>9.8009999999999179E-4</c:v>
              </c:pt>
              <c:pt idx="15">
                <c:v>9.8009999999999179E-4</c:v>
              </c:pt>
              <c:pt idx="16">
                <c:v>9.8009999999999179E-4</c:v>
              </c:pt>
              <c:pt idx="17">
                <c:v>9.8009999999999179E-4</c:v>
              </c:pt>
              <c:pt idx="18">
                <c:v>9.8009999999999179E-4</c:v>
              </c:pt>
              <c:pt idx="19">
                <c:v>9.8009999999999179E-4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DE73-4259-9E7D-F38FFE9D82D7}"/>
            </c:ext>
          </c:extLst>
        </c:ser>
        <c:ser>
          <c:idx val="2"/>
          <c:order val="2"/>
          <c:tx>
            <c:v>R¯ = 0.0003</c:v>
          </c:tx>
          <c:spPr>
            <a:ln w="15875">
              <a:solidFill>
                <a:srgbClr val="00B050"/>
              </a:solidFill>
              <a:prstDash val="solid"/>
            </a:ln>
          </c:spPr>
          <c:marker>
            <c:symbol val="none"/>
          </c:marker>
          <c:cat>
            <c:strLit>
              <c:ptCount val="20"/>
              <c:pt idx="0">
                <c:v>David - Parte 1</c:v>
              </c:pt>
              <c:pt idx="1">
                <c:v>David - Parte 2</c:v>
              </c:pt>
              <c:pt idx="2">
                <c:v>David - Parte 3</c:v>
              </c:pt>
              <c:pt idx="3">
                <c:v>David - Parte 4</c:v>
              </c:pt>
              <c:pt idx="4">
                <c:v>David - Parte 5</c:v>
              </c:pt>
              <c:pt idx="5">
                <c:v>David - Parte 6</c:v>
              </c:pt>
              <c:pt idx="6">
                <c:v>David - Parte 7</c:v>
              </c:pt>
              <c:pt idx="7">
                <c:v>David - Parte 8</c:v>
              </c:pt>
              <c:pt idx="8">
                <c:v>David - Parte 9</c:v>
              </c:pt>
              <c:pt idx="9">
                <c:v>David - Parte 10</c:v>
              </c:pt>
              <c:pt idx="10">
                <c:v>Monica - Parte 1</c:v>
              </c:pt>
              <c:pt idx="11">
                <c:v>Monica - Parte 2</c:v>
              </c:pt>
              <c:pt idx="12">
                <c:v>Monica - Parte 3</c:v>
              </c:pt>
              <c:pt idx="13">
                <c:v>Monica - Parte 4</c:v>
              </c:pt>
              <c:pt idx="14">
                <c:v>Monica - Parte 5</c:v>
              </c:pt>
              <c:pt idx="15">
                <c:v>Monica - Parte 6</c:v>
              </c:pt>
              <c:pt idx="16">
                <c:v>Monica - Parte 7</c:v>
              </c:pt>
              <c:pt idx="17">
                <c:v>Monica - Parte 8</c:v>
              </c:pt>
              <c:pt idx="18">
                <c:v>Monica - Parte 9</c:v>
              </c:pt>
              <c:pt idx="19">
                <c:v>Monica - Parte 10</c:v>
              </c:pt>
            </c:strLit>
          </c:cat>
          <c:val>
            <c:numLit>
              <c:formatCode>General</c:formatCode>
              <c:ptCount val="20"/>
              <c:pt idx="0">
                <c:v>2.9999999999999748E-4</c:v>
              </c:pt>
              <c:pt idx="1">
                <c:v>2.9999999999999748E-4</c:v>
              </c:pt>
              <c:pt idx="2">
                <c:v>2.9999999999999748E-4</c:v>
              </c:pt>
              <c:pt idx="3">
                <c:v>2.9999999999999748E-4</c:v>
              </c:pt>
              <c:pt idx="4">
                <c:v>2.9999999999999748E-4</c:v>
              </c:pt>
              <c:pt idx="5">
                <c:v>2.9999999999999748E-4</c:v>
              </c:pt>
              <c:pt idx="6">
                <c:v>2.9999999999999748E-4</c:v>
              </c:pt>
              <c:pt idx="7">
                <c:v>2.9999999999999748E-4</c:v>
              </c:pt>
              <c:pt idx="8">
                <c:v>2.9999999999999748E-4</c:v>
              </c:pt>
              <c:pt idx="9">
                <c:v>2.9999999999999748E-4</c:v>
              </c:pt>
              <c:pt idx="10">
                <c:v>2.9999999999999748E-4</c:v>
              </c:pt>
              <c:pt idx="11">
                <c:v>2.9999999999999748E-4</c:v>
              </c:pt>
              <c:pt idx="12">
                <c:v>2.9999999999999748E-4</c:v>
              </c:pt>
              <c:pt idx="13">
                <c:v>2.9999999999999748E-4</c:v>
              </c:pt>
              <c:pt idx="14">
                <c:v>2.9999999999999748E-4</c:v>
              </c:pt>
              <c:pt idx="15">
                <c:v>2.9999999999999748E-4</c:v>
              </c:pt>
              <c:pt idx="16">
                <c:v>2.9999999999999748E-4</c:v>
              </c:pt>
              <c:pt idx="17">
                <c:v>2.9999999999999748E-4</c:v>
              </c:pt>
              <c:pt idx="18">
                <c:v>2.9999999999999748E-4</c:v>
              </c:pt>
              <c:pt idx="19">
                <c:v>2.9999999999999748E-4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DE73-4259-9E7D-F38FFE9D82D7}"/>
            </c:ext>
          </c:extLst>
        </c:ser>
        <c:ser>
          <c:idx val="3"/>
          <c:order val="3"/>
          <c:tx>
            <c:v>LCI = 0</c:v>
          </c:tx>
          <c:spPr>
            <a:ln w="15875">
              <a:solidFill>
                <a:srgbClr val="C00000"/>
              </a:solidFill>
              <a:prstDash val="dash"/>
            </a:ln>
          </c:spPr>
          <c:marker>
            <c:symbol val="none"/>
          </c:marker>
          <c:cat>
            <c:strLit>
              <c:ptCount val="20"/>
              <c:pt idx="0">
                <c:v>David - Parte 1</c:v>
              </c:pt>
              <c:pt idx="1">
                <c:v>David - Parte 2</c:v>
              </c:pt>
              <c:pt idx="2">
                <c:v>David - Parte 3</c:v>
              </c:pt>
              <c:pt idx="3">
                <c:v>David - Parte 4</c:v>
              </c:pt>
              <c:pt idx="4">
                <c:v>David - Parte 5</c:v>
              </c:pt>
              <c:pt idx="5">
                <c:v>David - Parte 6</c:v>
              </c:pt>
              <c:pt idx="6">
                <c:v>David - Parte 7</c:v>
              </c:pt>
              <c:pt idx="7">
                <c:v>David - Parte 8</c:v>
              </c:pt>
              <c:pt idx="8">
                <c:v>David - Parte 9</c:v>
              </c:pt>
              <c:pt idx="9">
                <c:v>David - Parte 10</c:v>
              </c:pt>
              <c:pt idx="10">
                <c:v>Monica - Parte 1</c:v>
              </c:pt>
              <c:pt idx="11">
                <c:v>Monica - Parte 2</c:v>
              </c:pt>
              <c:pt idx="12">
                <c:v>Monica - Parte 3</c:v>
              </c:pt>
              <c:pt idx="13">
                <c:v>Monica - Parte 4</c:v>
              </c:pt>
              <c:pt idx="14">
                <c:v>Monica - Parte 5</c:v>
              </c:pt>
              <c:pt idx="15">
                <c:v>Monica - Parte 6</c:v>
              </c:pt>
              <c:pt idx="16">
                <c:v>Monica - Parte 7</c:v>
              </c:pt>
              <c:pt idx="17">
                <c:v>Monica - Parte 8</c:v>
              </c:pt>
              <c:pt idx="18">
                <c:v>Monica - Parte 9</c:v>
              </c:pt>
              <c:pt idx="19">
                <c:v>Monica - Parte 10</c:v>
              </c:pt>
            </c:strLit>
          </c:cat>
          <c:val>
            <c:numLit>
              <c:formatCode>General</c:formatCode>
              <c:ptCount val="2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DE73-4259-9E7D-F38FFE9D8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0030319"/>
        <c:axId val="1060031759"/>
      </c:lineChart>
      <c:catAx>
        <c:axId val="10600303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Operador-Parte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800">
                <a:latin typeface="Arial"/>
                <a:ea typeface="Arial"/>
                <a:cs typeface="Arial"/>
              </a:defRPr>
            </a:pPr>
            <a:endParaRPr lang="es-MX"/>
          </a:p>
        </c:txPr>
        <c:crossAx val="1060031759"/>
        <c:crosses val="autoZero"/>
        <c:auto val="1"/>
        <c:lblAlgn val="ctr"/>
        <c:lblOffset val="100"/>
        <c:noMultiLvlLbl val="0"/>
      </c:catAx>
      <c:valAx>
        <c:axId val="1060031759"/>
        <c:scaling>
          <c:orientation val="minMax"/>
          <c:max val="1.1960199999999984E-3"/>
          <c:min val="-1.9601999999999836E-4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Rango</a:t>
                </a:r>
              </a:p>
            </c:rich>
          </c:tx>
          <c:overlay val="0"/>
        </c:title>
        <c:numFmt formatCode="0.000" sourceLinked="0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Arial"/>
                <a:ea typeface="Arial"/>
                <a:cs typeface="Arial"/>
              </a:defRPr>
            </a:pPr>
            <a:endParaRPr lang="es-MX"/>
          </a:p>
        </c:txPr>
        <c:crossAx val="1060030319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000">
              <a:latin typeface="Arial" panose="020B0604020202020204" pitchFamily="34" charset="0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latin typeface="Arial" panose="020B0604020202020204" pitchFamily="34" charset="0"/>
              </a:defRPr>
            </a:pPr>
            <a:r>
              <a:rPr lang="es-MX" sz="1200" b="1">
                <a:latin typeface="Arial" panose="020B0604020202020204" pitchFamily="34" charset="0"/>
              </a:rPr>
              <a:t>Gráfico XBarra por Operador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Media por pieza</c:v>
          </c:tx>
          <c:spPr>
            <a:ln w="15875">
              <a:solidFill>
                <a:srgbClr val="0070C0"/>
              </a:solidFill>
            </a:ln>
          </c:spPr>
          <c:marker>
            <c:symbol val="circle"/>
            <c:size val="5"/>
            <c:spPr>
              <a:ln w="15875">
                <a:solidFill>
                  <a:srgbClr val="0070C0"/>
                </a:solidFill>
              </a:ln>
            </c:spPr>
          </c:marker>
          <c:cat>
            <c:strLit>
              <c:ptCount val="20"/>
              <c:pt idx="0">
                <c:v>David - Parte 1</c:v>
              </c:pt>
              <c:pt idx="1">
                <c:v>David - Parte 2</c:v>
              </c:pt>
              <c:pt idx="2">
                <c:v>David - Parte 3</c:v>
              </c:pt>
              <c:pt idx="3">
                <c:v>David - Parte 4</c:v>
              </c:pt>
              <c:pt idx="4">
                <c:v>David - Parte 5</c:v>
              </c:pt>
              <c:pt idx="5">
                <c:v>David - Parte 6</c:v>
              </c:pt>
              <c:pt idx="6">
                <c:v>David - Parte 7</c:v>
              </c:pt>
              <c:pt idx="7">
                <c:v>David - Parte 8</c:v>
              </c:pt>
              <c:pt idx="8">
                <c:v>David - Parte 9</c:v>
              </c:pt>
              <c:pt idx="9">
                <c:v>David - Parte 10</c:v>
              </c:pt>
              <c:pt idx="10">
                <c:v>Monica - Parte 1</c:v>
              </c:pt>
              <c:pt idx="11">
                <c:v>Monica - Parte 2</c:v>
              </c:pt>
              <c:pt idx="12">
                <c:v>Monica - Parte 3</c:v>
              </c:pt>
              <c:pt idx="13">
                <c:v>Monica - Parte 4</c:v>
              </c:pt>
              <c:pt idx="14">
                <c:v>Monica - Parte 5</c:v>
              </c:pt>
              <c:pt idx="15">
                <c:v>Monica - Parte 6</c:v>
              </c:pt>
              <c:pt idx="16">
                <c:v>Monica - Parte 7</c:v>
              </c:pt>
              <c:pt idx="17">
                <c:v>Monica - Parte 8</c:v>
              </c:pt>
              <c:pt idx="18">
                <c:v>Monica - Parte 9</c:v>
              </c:pt>
              <c:pt idx="19">
                <c:v>Monica - Parte 10</c:v>
              </c:pt>
            </c:strLit>
          </c:cat>
          <c:val>
            <c:numLit>
              <c:formatCode>General</c:formatCode>
              <c:ptCount val="20"/>
              <c:pt idx="0">
                <c:v>0.23949999999999999</c:v>
              </c:pt>
              <c:pt idx="1">
                <c:v>0.23549999999999999</c:v>
              </c:pt>
              <c:pt idx="2">
                <c:v>0.24149999999999999</c:v>
              </c:pt>
              <c:pt idx="3">
                <c:v>0.26300000000000001</c:v>
              </c:pt>
              <c:pt idx="4">
                <c:v>0.26050000000000001</c:v>
              </c:pt>
              <c:pt idx="5">
                <c:v>0.254</c:v>
              </c:pt>
              <c:pt idx="6">
                <c:v>0.24399999999999999</c:v>
              </c:pt>
              <c:pt idx="7">
                <c:v>0.251</c:v>
              </c:pt>
              <c:pt idx="8">
                <c:v>0.25800000000000001</c:v>
              </c:pt>
              <c:pt idx="9">
                <c:v>0.26250000000000001</c:v>
              </c:pt>
              <c:pt idx="10">
                <c:v>0.23899999999999999</c:v>
              </c:pt>
              <c:pt idx="11">
                <c:v>0.23449999999999999</c:v>
              </c:pt>
              <c:pt idx="12">
                <c:v>0.24099999999999999</c:v>
              </c:pt>
              <c:pt idx="13">
                <c:v>0.26300000000000001</c:v>
              </c:pt>
              <c:pt idx="14">
                <c:v>0.26</c:v>
              </c:pt>
              <c:pt idx="15">
                <c:v>0.254</c:v>
              </c:pt>
              <c:pt idx="16">
                <c:v>0.24299999999999999</c:v>
              </c:pt>
              <c:pt idx="17">
                <c:v>0.251</c:v>
              </c:pt>
              <c:pt idx="18">
                <c:v>0.25700000000000001</c:v>
              </c:pt>
              <c:pt idx="19">
                <c:v>0.26200000000000001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EB3-4A04-97A9-FED9A1F191FC}"/>
            </c:ext>
          </c:extLst>
        </c:ser>
        <c:ser>
          <c:idx val="1"/>
          <c:order val="1"/>
          <c:tx>
            <c:v>ECS = 0.251</c:v>
          </c:tx>
          <c:spPr>
            <a:ln w="15875">
              <a:solidFill>
                <a:srgbClr val="C00000"/>
              </a:solidFill>
              <a:prstDash val="dash"/>
            </a:ln>
          </c:spPr>
          <c:marker>
            <c:symbol val="none"/>
          </c:marker>
          <c:cat>
            <c:strLit>
              <c:ptCount val="20"/>
              <c:pt idx="0">
                <c:v>David - Parte 1</c:v>
              </c:pt>
              <c:pt idx="1">
                <c:v>David - Parte 2</c:v>
              </c:pt>
              <c:pt idx="2">
                <c:v>David - Parte 3</c:v>
              </c:pt>
              <c:pt idx="3">
                <c:v>David - Parte 4</c:v>
              </c:pt>
              <c:pt idx="4">
                <c:v>David - Parte 5</c:v>
              </c:pt>
              <c:pt idx="5">
                <c:v>David - Parte 6</c:v>
              </c:pt>
              <c:pt idx="6">
                <c:v>David - Parte 7</c:v>
              </c:pt>
              <c:pt idx="7">
                <c:v>David - Parte 8</c:v>
              </c:pt>
              <c:pt idx="8">
                <c:v>David - Parte 9</c:v>
              </c:pt>
              <c:pt idx="9">
                <c:v>David - Parte 10</c:v>
              </c:pt>
              <c:pt idx="10">
                <c:v>Monica - Parte 1</c:v>
              </c:pt>
              <c:pt idx="11">
                <c:v>Monica - Parte 2</c:v>
              </c:pt>
              <c:pt idx="12">
                <c:v>Monica - Parte 3</c:v>
              </c:pt>
              <c:pt idx="13">
                <c:v>Monica - Parte 4</c:v>
              </c:pt>
              <c:pt idx="14">
                <c:v>Monica - Parte 5</c:v>
              </c:pt>
              <c:pt idx="15">
                <c:v>Monica - Parte 6</c:v>
              </c:pt>
              <c:pt idx="16">
                <c:v>Monica - Parte 7</c:v>
              </c:pt>
              <c:pt idx="17">
                <c:v>Monica - Parte 8</c:v>
              </c:pt>
              <c:pt idx="18">
                <c:v>Monica - Parte 9</c:v>
              </c:pt>
              <c:pt idx="19">
                <c:v>Monica - Parte 10</c:v>
              </c:pt>
            </c:strLit>
          </c:cat>
          <c:val>
            <c:numLit>
              <c:formatCode>General</c:formatCode>
              <c:ptCount val="20"/>
              <c:pt idx="0">
                <c:v>0.25126400000000004</c:v>
              </c:pt>
              <c:pt idx="1">
                <c:v>0.25126400000000004</c:v>
              </c:pt>
              <c:pt idx="2">
                <c:v>0.25126400000000004</c:v>
              </c:pt>
              <c:pt idx="3">
                <c:v>0.25126400000000004</c:v>
              </c:pt>
              <c:pt idx="4">
                <c:v>0.25126400000000004</c:v>
              </c:pt>
              <c:pt idx="5">
                <c:v>0.25126400000000004</c:v>
              </c:pt>
              <c:pt idx="6">
                <c:v>0.25126400000000004</c:v>
              </c:pt>
              <c:pt idx="7">
                <c:v>0.25126400000000004</c:v>
              </c:pt>
              <c:pt idx="8">
                <c:v>0.25126400000000004</c:v>
              </c:pt>
              <c:pt idx="9">
                <c:v>0.25126400000000004</c:v>
              </c:pt>
              <c:pt idx="10">
                <c:v>0.25126400000000004</c:v>
              </c:pt>
              <c:pt idx="11">
                <c:v>0.25126400000000004</c:v>
              </c:pt>
              <c:pt idx="12">
                <c:v>0.25126400000000004</c:v>
              </c:pt>
              <c:pt idx="13">
                <c:v>0.25126400000000004</c:v>
              </c:pt>
              <c:pt idx="14">
                <c:v>0.25126400000000004</c:v>
              </c:pt>
              <c:pt idx="15">
                <c:v>0.25126400000000004</c:v>
              </c:pt>
              <c:pt idx="16">
                <c:v>0.25126400000000004</c:v>
              </c:pt>
              <c:pt idx="17">
                <c:v>0.25126400000000004</c:v>
              </c:pt>
              <c:pt idx="18">
                <c:v>0.25126400000000004</c:v>
              </c:pt>
              <c:pt idx="19">
                <c:v>0.25126400000000004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1EB3-4A04-97A9-FED9A1F191FC}"/>
            </c:ext>
          </c:extLst>
        </c:ser>
        <c:ser>
          <c:idx val="2"/>
          <c:order val="2"/>
          <c:tx>
            <c:v>X¯ = 0.251</c:v>
          </c:tx>
          <c:spPr>
            <a:ln w="15875">
              <a:solidFill>
                <a:srgbClr val="00B050"/>
              </a:solidFill>
              <a:prstDash val="solid"/>
            </a:ln>
          </c:spPr>
          <c:marker>
            <c:symbol val="none"/>
          </c:marker>
          <c:cat>
            <c:strLit>
              <c:ptCount val="20"/>
              <c:pt idx="0">
                <c:v>David - Parte 1</c:v>
              </c:pt>
              <c:pt idx="1">
                <c:v>David - Parte 2</c:v>
              </c:pt>
              <c:pt idx="2">
                <c:v>David - Parte 3</c:v>
              </c:pt>
              <c:pt idx="3">
                <c:v>David - Parte 4</c:v>
              </c:pt>
              <c:pt idx="4">
                <c:v>David - Parte 5</c:v>
              </c:pt>
              <c:pt idx="5">
                <c:v>David - Parte 6</c:v>
              </c:pt>
              <c:pt idx="6">
                <c:v>David - Parte 7</c:v>
              </c:pt>
              <c:pt idx="7">
                <c:v>David - Parte 8</c:v>
              </c:pt>
              <c:pt idx="8">
                <c:v>David - Parte 9</c:v>
              </c:pt>
              <c:pt idx="9">
                <c:v>David - Parte 10</c:v>
              </c:pt>
              <c:pt idx="10">
                <c:v>Monica - Parte 1</c:v>
              </c:pt>
              <c:pt idx="11">
                <c:v>Monica - Parte 2</c:v>
              </c:pt>
              <c:pt idx="12">
                <c:v>Monica - Parte 3</c:v>
              </c:pt>
              <c:pt idx="13">
                <c:v>Monica - Parte 4</c:v>
              </c:pt>
              <c:pt idx="14">
                <c:v>Monica - Parte 5</c:v>
              </c:pt>
              <c:pt idx="15">
                <c:v>Monica - Parte 6</c:v>
              </c:pt>
              <c:pt idx="16">
                <c:v>Monica - Parte 7</c:v>
              </c:pt>
              <c:pt idx="17">
                <c:v>Monica - Parte 8</c:v>
              </c:pt>
              <c:pt idx="18">
                <c:v>Monica - Parte 9</c:v>
              </c:pt>
              <c:pt idx="19">
                <c:v>Monica - Parte 10</c:v>
              </c:pt>
            </c:strLit>
          </c:cat>
          <c:val>
            <c:numLit>
              <c:formatCode>General</c:formatCode>
              <c:ptCount val="20"/>
              <c:pt idx="0">
                <c:v>0.25070000000000003</c:v>
              </c:pt>
              <c:pt idx="1">
                <c:v>0.25070000000000003</c:v>
              </c:pt>
              <c:pt idx="2">
                <c:v>0.25070000000000003</c:v>
              </c:pt>
              <c:pt idx="3">
                <c:v>0.25070000000000003</c:v>
              </c:pt>
              <c:pt idx="4">
                <c:v>0.25070000000000003</c:v>
              </c:pt>
              <c:pt idx="5">
                <c:v>0.25070000000000003</c:v>
              </c:pt>
              <c:pt idx="6">
                <c:v>0.25070000000000003</c:v>
              </c:pt>
              <c:pt idx="7">
                <c:v>0.25070000000000003</c:v>
              </c:pt>
              <c:pt idx="8">
                <c:v>0.25070000000000003</c:v>
              </c:pt>
              <c:pt idx="9">
                <c:v>0.25070000000000003</c:v>
              </c:pt>
              <c:pt idx="10">
                <c:v>0.25070000000000003</c:v>
              </c:pt>
              <c:pt idx="11">
                <c:v>0.25070000000000003</c:v>
              </c:pt>
              <c:pt idx="12">
                <c:v>0.25070000000000003</c:v>
              </c:pt>
              <c:pt idx="13">
                <c:v>0.25070000000000003</c:v>
              </c:pt>
              <c:pt idx="14">
                <c:v>0.25070000000000003</c:v>
              </c:pt>
              <c:pt idx="15">
                <c:v>0.25070000000000003</c:v>
              </c:pt>
              <c:pt idx="16">
                <c:v>0.25070000000000003</c:v>
              </c:pt>
              <c:pt idx="17">
                <c:v>0.25070000000000003</c:v>
              </c:pt>
              <c:pt idx="18">
                <c:v>0.25070000000000003</c:v>
              </c:pt>
              <c:pt idx="19">
                <c:v>0.25070000000000003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1EB3-4A04-97A9-FED9A1F191FC}"/>
            </c:ext>
          </c:extLst>
        </c:ser>
        <c:ser>
          <c:idx val="3"/>
          <c:order val="3"/>
          <c:tx>
            <c:v>LCI = 0.25</c:v>
          </c:tx>
          <c:spPr>
            <a:ln w="15875">
              <a:solidFill>
                <a:srgbClr val="C00000"/>
              </a:solidFill>
              <a:prstDash val="dash"/>
            </a:ln>
          </c:spPr>
          <c:marker>
            <c:symbol val="none"/>
          </c:marker>
          <c:cat>
            <c:strLit>
              <c:ptCount val="20"/>
              <c:pt idx="0">
                <c:v>David - Parte 1</c:v>
              </c:pt>
              <c:pt idx="1">
                <c:v>David - Parte 2</c:v>
              </c:pt>
              <c:pt idx="2">
                <c:v>David - Parte 3</c:v>
              </c:pt>
              <c:pt idx="3">
                <c:v>David - Parte 4</c:v>
              </c:pt>
              <c:pt idx="4">
                <c:v>David - Parte 5</c:v>
              </c:pt>
              <c:pt idx="5">
                <c:v>David - Parte 6</c:v>
              </c:pt>
              <c:pt idx="6">
                <c:v>David - Parte 7</c:v>
              </c:pt>
              <c:pt idx="7">
                <c:v>David - Parte 8</c:v>
              </c:pt>
              <c:pt idx="8">
                <c:v>David - Parte 9</c:v>
              </c:pt>
              <c:pt idx="9">
                <c:v>David - Parte 10</c:v>
              </c:pt>
              <c:pt idx="10">
                <c:v>Monica - Parte 1</c:v>
              </c:pt>
              <c:pt idx="11">
                <c:v>Monica - Parte 2</c:v>
              </c:pt>
              <c:pt idx="12">
                <c:v>Monica - Parte 3</c:v>
              </c:pt>
              <c:pt idx="13">
                <c:v>Monica - Parte 4</c:v>
              </c:pt>
              <c:pt idx="14">
                <c:v>Monica - Parte 5</c:v>
              </c:pt>
              <c:pt idx="15">
                <c:v>Monica - Parte 6</c:v>
              </c:pt>
              <c:pt idx="16">
                <c:v>Monica - Parte 7</c:v>
              </c:pt>
              <c:pt idx="17">
                <c:v>Monica - Parte 8</c:v>
              </c:pt>
              <c:pt idx="18">
                <c:v>Monica - Parte 9</c:v>
              </c:pt>
              <c:pt idx="19">
                <c:v>Monica - Parte 10</c:v>
              </c:pt>
            </c:strLit>
          </c:cat>
          <c:val>
            <c:numLit>
              <c:formatCode>General</c:formatCode>
              <c:ptCount val="20"/>
              <c:pt idx="0">
                <c:v>0.25013600000000002</c:v>
              </c:pt>
              <c:pt idx="1">
                <c:v>0.25013600000000002</c:v>
              </c:pt>
              <c:pt idx="2">
                <c:v>0.25013600000000002</c:v>
              </c:pt>
              <c:pt idx="3">
                <c:v>0.25013600000000002</c:v>
              </c:pt>
              <c:pt idx="4">
                <c:v>0.25013600000000002</c:v>
              </c:pt>
              <c:pt idx="5">
                <c:v>0.25013600000000002</c:v>
              </c:pt>
              <c:pt idx="6">
                <c:v>0.25013600000000002</c:v>
              </c:pt>
              <c:pt idx="7">
                <c:v>0.25013600000000002</c:v>
              </c:pt>
              <c:pt idx="8">
                <c:v>0.25013600000000002</c:v>
              </c:pt>
              <c:pt idx="9">
                <c:v>0.25013600000000002</c:v>
              </c:pt>
              <c:pt idx="10">
                <c:v>0.25013600000000002</c:v>
              </c:pt>
              <c:pt idx="11">
                <c:v>0.25013600000000002</c:v>
              </c:pt>
              <c:pt idx="12">
                <c:v>0.25013600000000002</c:v>
              </c:pt>
              <c:pt idx="13">
                <c:v>0.25013600000000002</c:v>
              </c:pt>
              <c:pt idx="14">
                <c:v>0.25013600000000002</c:v>
              </c:pt>
              <c:pt idx="15">
                <c:v>0.25013600000000002</c:v>
              </c:pt>
              <c:pt idx="16">
                <c:v>0.25013600000000002</c:v>
              </c:pt>
              <c:pt idx="17">
                <c:v>0.25013600000000002</c:v>
              </c:pt>
              <c:pt idx="18">
                <c:v>0.25013600000000002</c:v>
              </c:pt>
              <c:pt idx="19">
                <c:v>0.25013600000000002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1EB3-4A04-97A9-FED9A1F19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6070175"/>
        <c:axId val="1066070655"/>
      </c:lineChart>
      <c:catAx>
        <c:axId val="10660701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Operador - Parte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800">
                <a:latin typeface="Arial"/>
                <a:ea typeface="Arial"/>
                <a:cs typeface="Arial"/>
              </a:defRPr>
            </a:pPr>
            <a:endParaRPr lang="es-MX"/>
          </a:p>
        </c:txPr>
        <c:crossAx val="1066070655"/>
        <c:crosses val="autoZero"/>
        <c:auto val="1"/>
        <c:lblAlgn val="ctr"/>
        <c:lblOffset val="100"/>
        <c:noMultiLvlLbl val="0"/>
      </c:catAx>
      <c:valAx>
        <c:axId val="1066070655"/>
        <c:scaling>
          <c:orientation val="minMax"/>
          <c:max val="0.2632256"/>
          <c:min val="0.23427439999999999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Media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Arial"/>
                <a:ea typeface="Arial"/>
                <a:cs typeface="Arial"/>
              </a:defRPr>
            </a:pPr>
            <a:endParaRPr lang="es-MX"/>
          </a:p>
        </c:txPr>
        <c:crossAx val="1066070175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000">
              <a:latin typeface="Arial" panose="020B0604020202020204" pitchFamily="34" charset="0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latin typeface="Arial" panose="020B0604020202020204" pitchFamily="34" charset="0"/>
              </a:defRPr>
            </a:pPr>
            <a:r>
              <a:rPr lang="es-MX" sz="1200" b="1">
                <a:latin typeface="Arial" panose="020B0604020202020204" pitchFamily="34" charset="0"/>
              </a:rPr>
              <a:t>Interacción Operador-Pieza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Monica</c:v>
          </c:tx>
          <c:spPr>
            <a:ln w="15875">
              <a:solidFill>
                <a:srgbClr val="0070C0"/>
              </a:solidFill>
            </a:ln>
          </c:spPr>
          <c:marker>
            <c:symbol val="circle"/>
            <c:size val="5"/>
            <c:spPr>
              <a:solidFill>
                <a:srgbClr val="0070C0"/>
              </a:solidFill>
              <a:ln w="15875">
                <a:solidFill>
                  <a:srgbClr val="0070C0"/>
                </a:solidFill>
                <a:prstDash val="solid"/>
              </a:ln>
            </c:spPr>
          </c:marker>
          <c:cat>
            <c:strRef>
              <c:f>Graficos!$T$65:$T$74</c:f>
              <c:strCache>
                <c:ptCount val="10"/>
                <c:pt idx="0">
                  <c:v>Parte 1</c:v>
                </c:pt>
                <c:pt idx="1">
                  <c:v>Parte 2</c:v>
                </c:pt>
                <c:pt idx="2">
                  <c:v>Parte 3</c:v>
                </c:pt>
                <c:pt idx="3">
                  <c:v>Parte 4</c:v>
                </c:pt>
                <c:pt idx="4">
                  <c:v>Parte 5</c:v>
                </c:pt>
                <c:pt idx="5">
                  <c:v>Parte 6</c:v>
                </c:pt>
                <c:pt idx="6">
                  <c:v>Parte 7</c:v>
                </c:pt>
                <c:pt idx="7">
                  <c:v>Parte 8</c:v>
                </c:pt>
                <c:pt idx="8">
                  <c:v>Parte 9</c:v>
                </c:pt>
                <c:pt idx="9">
                  <c:v>Parte 10</c:v>
                </c:pt>
              </c:strCache>
            </c:strRef>
          </c:cat>
          <c:val>
            <c:numRef>
              <c:f>Graficos!$U$65:$U$74</c:f>
              <c:numCache>
                <c:formatCode>General</c:formatCode>
                <c:ptCount val="10"/>
                <c:pt idx="0">
                  <c:v>0.23899999999999999</c:v>
                </c:pt>
                <c:pt idx="1">
                  <c:v>0.23449999999999999</c:v>
                </c:pt>
                <c:pt idx="2">
                  <c:v>0.24099999999999999</c:v>
                </c:pt>
                <c:pt idx="3">
                  <c:v>0.26300000000000001</c:v>
                </c:pt>
                <c:pt idx="4">
                  <c:v>0.26</c:v>
                </c:pt>
                <c:pt idx="5">
                  <c:v>0.254</c:v>
                </c:pt>
                <c:pt idx="6">
                  <c:v>0.24299999999999999</c:v>
                </c:pt>
                <c:pt idx="7">
                  <c:v>0.251</c:v>
                </c:pt>
                <c:pt idx="8">
                  <c:v>0.25700000000000001</c:v>
                </c:pt>
                <c:pt idx="9">
                  <c:v>0.26200000000000001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66-410E-8ABD-05C21A6D7DAF}"/>
            </c:ext>
          </c:extLst>
        </c:ser>
        <c:ser>
          <c:idx val="1"/>
          <c:order val="1"/>
          <c:tx>
            <c:v>David</c:v>
          </c:tx>
          <c:spPr>
            <a:ln w="15875">
              <a:solidFill>
                <a:srgbClr val="800000"/>
              </a:solidFill>
            </a:ln>
          </c:spPr>
          <c:marker>
            <c:symbol val="square"/>
            <c:size val="5"/>
            <c:spPr>
              <a:solidFill>
                <a:srgbClr val="800000"/>
              </a:solidFill>
              <a:ln w="15875">
                <a:solidFill>
                  <a:srgbClr val="800000"/>
                </a:solidFill>
                <a:prstDash val="solid"/>
              </a:ln>
            </c:spPr>
          </c:marker>
          <c:cat>
            <c:strRef>
              <c:f>Graficos!$T$65:$T$74</c:f>
              <c:strCache>
                <c:ptCount val="10"/>
                <c:pt idx="0">
                  <c:v>Parte 1</c:v>
                </c:pt>
                <c:pt idx="1">
                  <c:v>Parte 2</c:v>
                </c:pt>
                <c:pt idx="2">
                  <c:v>Parte 3</c:v>
                </c:pt>
                <c:pt idx="3">
                  <c:v>Parte 4</c:v>
                </c:pt>
                <c:pt idx="4">
                  <c:v>Parte 5</c:v>
                </c:pt>
                <c:pt idx="5">
                  <c:v>Parte 6</c:v>
                </c:pt>
                <c:pt idx="6">
                  <c:v>Parte 7</c:v>
                </c:pt>
                <c:pt idx="7">
                  <c:v>Parte 8</c:v>
                </c:pt>
                <c:pt idx="8">
                  <c:v>Parte 9</c:v>
                </c:pt>
                <c:pt idx="9">
                  <c:v>Parte 10</c:v>
                </c:pt>
              </c:strCache>
            </c:strRef>
          </c:cat>
          <c:val>
            <c:numRef>
              <c:f>Graficos!$V$65:$V$74</c:f>
              <c:numCache>
                <c:formatCode>General</c:formatCode>
                <c:ptCount val="10"/>
                <c:pt idx="0">
                  <c:v>0.23949999999999999</c:v>
                </c:pt>
                <c:pt idx="1">
                  <c:v>0.23549999999999999</c:v>
                </c:pt>
                <c:pt idx="2">
                  <c:v>0.24149999999999999</c:v>
                </c:pt>
                <c:pt idx="3">
                  <c:v>0.26300000000000001</c:v>
                </c:pt>
                <c:pt idx="4">
                  <c:v>0.26050000000000001</c:v>
                </c:pt>
                <c:pt idx="5">
                  <c:v>0.254</c:v>
                </c:pt>
                <c:pt idx="6">
                  <c:v>0.24399999999999999</c:v>
                </c:pt>
                <c:pt idx="7">
                  <c:v>0.251</c:v>
                </c:pt>
                <c:pt idx="8">
                  <c:v>0.25800000000000001</c:v>
                </c:pt>
                <c:pt idx="9">
                  <c:v>0.26250000000000001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66-410E-8ABD-05C21A6D7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2661951"/>
        <c:axId val="1072660991"/>
      </c:lineChart>
      <c:catAx>
        <c:axId val="10726619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Parte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latin typeface="Arial"/>
                <a:ea typeface="Arial"/>
                <a:cs typeface="Arial"/>
              </a:defRPr>
            </a:pPr>
            <a:endParaRPr lang="es-MX"/>
          </a:p>
        </c:txPr>
        <c:crossAx val="1072660991"/>
        <c:crosses val="autoZero"/>
        <c:auto val="1"/>
        <c:lblAlgn val="ctr"/>
        <c:lblOffset val="100"/>
        <c:noMultiLvlLbl val="0"/>
      </c:catAx>
      <c:valAx>
        <c:axId val="1072660991"/>
        <c:scaling>
          <c:orientation val="minMax"/>
          <c:max val="0.26585000000000003"/>
          <c:min val="0.23164999999999999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Promedio de Medición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Arial"/>
                <a:ea typeface="Arial"/>
                <a:cs typeface="Arial"/>
              </a:defRPr>
            </a:pPr>
            <a:endParaRPr lang="es-MX"/>
          </a:p>
        </c:txPr>
        <c:crossAx val="1072661951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000">
              <a:latin typeface="Arial" panose="020B0604020202020204" pitchFamily="34" charset="0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latin typeface="Arial" panose="020B0604020202020204" pitchFamily="34" charset="0"/>
              </a:defRPr>
            </a:pPr>
            <a:r>
              <a:rPr lang="es-MX" sz="1200" b="1">
                <a:latin typeface="Arial" panose="020B0604020202020204" pitchFamily="34" charset="0"/>
              </a:rPr>
              <a:t>Evaluación de la variación del estudio de medición
&lt; 10% = Bueno   |   10–30% = Marginal   |   &gt; 30% = Malo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Graficos!$U$76</c:f>
              <c:strCache>
                <c:ptCount val="1"/>
                <c:pt idx="0">
                  <c:v>%Valor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 w="9525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556-4107-82F0-F2BEFF8C916E}"/>
              </c:ext>
            </c:extLst>
          </c:dPt>
          <c:dPt>
            <c:idx val="1"/>
            <c:invertIfNegative val="0"/>
            <c:bubble3D val="0"/>
            <c:spPr>
              <a:solidFill>
                <a:srgbClr val="FFC000"/>
              </a:solidFill>
              <a:ln w="9525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3556-4107-82F0-F2BEFF8C916E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000" b="1">
                        <a:latin typeface="Arial"/>
                        <a:ea typeface="Arial"/>
                        <a:cs typeface="Arial"/>
                      </a:defRPr>
                    </a:pPr>
                    <a:r>
                      <a:rPr lang="es-MX"/>
                      <a:t>5.09%</a:t>
                    </a:r>
                  </a:p>
                </c:rich>
              </c:tx>
              <c:numFmt formatCode="0.00%" sourceLinked="0"/>
              <c:spPr>
                <a:solidFill>
                  <a:srgbClr val="FFFFFF"/>
                </a:solidFill>
                <a:ln>
                  <a:solidFill>
                    <a:prstClr val="black"/>
                  </a:solidFill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3556-4107-82F0-F2BEFF8C916E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000" b="1">
                        <a:latin typeface="Arial"/>
                        <a:ea typeface="Arial"/>
                        <a:cs typeface="Arial"/>
                      </a:defRPr>
                    </a:pPr>
                    <a:r>
                      <a:rPr lang="es-MX"/>
                      <a:t>10.49%</a:t>
                    </a:r>
                  </a:p>
                </c:rich>
              </c:tx>
              <c:numFmt formatCode="0.00%" sourceLinked="0"/>
              <c:spPr>
                <a:solidFill>
                  <a:srgbClr val="FFFFFF"/>
                </a:solidFill>
                <a:ln>
                  <a:solidFill>
                    <a:prstClr val="black"/>
                  </a:solidFill>
                </a:ln>
                <a:effectLst/>
              </c:spPr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3556-4107-82F0-F2BEFF8C916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Graficos!$T$77:$T$78</c:f>
              <c:strCache>
                <c:ptCount val="2"/>
                <c:pt idx="0">
                  <c:v>Total Gage – Study Variation</c:v>
                </c:pt>
                <c:pt idx="1">
                  <c:v>Total Gage – Tolerance</c:v>
                </c:pt>
              </c:strCache>
            </c:strRef>
          </c:cat>
          <c:val>
            <c:numRef>
              <c:f>Graficos!$U$77:$U$78</c:f>
              <c:numCache>
                <c:formatCode>General</c:formatCode>
                <c:ptCount val="2"/>
                <c:pt idx="0">
                  <c:v>5.094600962802795E-2</c:v>
                </c:pt>
                <c:pt idx="1">
                  <c:v>0.10488088481701517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56-4107-82F0-F2BEFF8C916E}"/>
            </c:ext>
          </c:extLst>
        </c:ser>
        <c:ser>
          <c:idx val="1"/>
          <c:order val="1"/>
          <c:tx>
            <c:strRef>
              <c:f>Graficos!$V$76</c:f>
              <c:strCache>
                <c:ptCount val="1"/>
                <c:pt idx="0">
                  <c:v>%Resto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D9D9D9"/>
              </a:solidFill>
            </c:spPr>
            <c:extLst>
              <c:ext xmlns:c16="http://schemas.microsoft.com/office/drawing/2014/chart" uri="{C3380CC4-5D6E-409C-BE32-E72D297353CC}">
                <c16:uniqueId val="{00000004-3556-4107-82F0-F2BEFF8C916E}"/>
              </c:ext>
            </c:extLst>
          </c:dPt>
          <c:dPt>
            <c:idx val="1"/>
            <c:invertIfNegative val="0"/>
            <c:bubble3D val="0"/>
            <c:spPr>
              <a:solidFill>
                <a:srgbClr val="D9D9D9"/>
              </a:solidFill>
            </c:spPr>
            <c:extLst>
              <c:ext xmlns:c16="http://schemas.microsoft.com/office/drawing/2014/chart" uri="{C3380CC4-5D6E-409C-BE32-E72D297353CC}">
                <c16:uniqueId val="{00000005-3556-4107-82F0-F2BEFF8C916E}"/>
              </c:ext>
            </c:extLst>
          </c:dPt>
          <c:cat>
            <c:strRef>
              <c:f>Graficos!$T$77:$T$78</c:f>
              <c:strCache>
                <c:ptCount val="2"/>
                <c:pt idx="0">
                  <c:v>Total Gage – Study Variation</c:v>
                </c:pt>
                <c:pt idx="1">
                  <c:v>Total Gage – Tolerance</c:v>
                </c:pt>
              </c:strCache>
            </c:strRef>
          </c:cat>
          <c:val>
            <c:numRef>
              <c:f>Graficos!$V$77:$V$78</c:f>
              <c:numCache>
                <c:formatCode>General</c:formatCode>
                <c:ptCount val="2"/>
                <c:pt idx="0">
                  <c:v>0.94905399037197202</c:v>
                </c:pt>
                <c:pt idx="1">
                  <c:v>0.89511911518298481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56-4107-82F0-F2BEFF8C9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72663871"/>
        <c:axId val="1072662911"/>
      </c:barChart>
      <c:catAx>
        <c:axId val="107266387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072662911"/>
        <c:crosses val="autoZero"/>
        <c:auto val="1"/>
        <c:lblAlgn val="ctr"/>
        <c:lblOffset val="100"/>
        <c:noMultiLvlLbl val="0"/>
      </c:catAx>
      <c:valAx>
        <c:axId val="1072662911"/>
        <c:scaling>
          <c:orientation val="minMax"/>
          <c:max val="1"/>
          <c:min val="0"/>
        </c:scaling>
        <c:delete val="0"/>
        <c:axPos val="b"/>
        <c:numFmt formatCode="0%" sourceLinked="0"/>
        <c:majorTickMark val="out"/>
        <c:minorTickMark val="none"/>
        <c:tickLblPos val="nextTo"/>
        <c:crossAx val="107266387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/>
                </a:rPr>
                <a:t>Nuevo estudio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8</xdr:col>
          <xdr:colOff>590550</xdr:colOff>
          <xdr:row>6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/>
                </a:rPr>
                <a:t>Limpiar datos del estudio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Generar resumen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8</xdr:row>
          <xdr:rowOff>190500</xdr:rowOff>
        </xdr:from>
        <xdr:to>
          <xdr:col>8</xdr:col>
          <xdr:colOff>590550</xdr:colOff>
          <xdr:row>12</xdr:row>
          <xdr:rowOff>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/>
                </a:rPr>
                <a:t>Limpiar Estudio MSA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244983</xdr:colOff>
      <xdr:row>19</xdr:row>
      <xdr:rowOff>83185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08853A7-3291-AF91-CEC6-6950F9E517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244983</xdr:colOff>
      <xdr:row>0</xdr:row>
      <xdr:rowOff>0</xdr:rowOff>
    </xdr:from>
    <xdr:to>
      <xdr:col>18</xdr:col>
      <xdr:colOff>489966</xdr:colOff>
      <xdr:row>19</xdr:row>
      <xdr:rowOff>83185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B75A83F-54CB-31BF-9577-2C2491E395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19</xdr:row>
      <xdr:rowOff>83185</xdr:rowOff>
    </xdr:from>
    <xdr:to>
      <xdr:col>9</xdr:col>
      <xdr:colOff>243713</xdr:colOff>
      <xdr:row>38</xdr:row>
      <xdr:rowOff>166370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B9A3956-859F-0171-2283-8589EBF801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244983</xdr:colOff>
      <xdr:row>19</xdr:row>
      <xdr:rowOff>83185</xdr:rowOff>
    </xdr:from>
    <xdr:to>
      <xdr:col>18</xdr:col>
      <xdr:colOff>488696</xdr:colOff>
      <xdr:row>38</xdr:row>
      <xdr:rowOff>166370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5B77ED9-2726-8618-BA76-EA8E3A5457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38</xdr:row>
      <xdr:rowOff>166370</xdr:rowOff>
    </xdr:from>
    <xdr:to>
      <xdr:col>9</xdr:col>
      <xdr:colOff>244983</xdr:colOff>
      <xdr:row>58</xdr:row>
      <xdr:rowOff>65405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F873926-713B-C42B-67CB-178C4B65CD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244983</xdr:colOff>
      <xdr:row>38</xdr:row>
      <xdr:rowOff>166370</xdr:rowOff>
    </xdr:from>
    <xdr:to>
      <xdr:col>18</xdr:col>
      <xdr:colOff>489966</xdr:colOff>
      <xdr:row>58</xdr:row>
      <xdr:rowOff>65405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9424F05-1AAC-6DAF-1DD6-87AE8F4EDF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F839F6F-551B-46CD-A1E2-C0C1E79E30FD}" name="Tabla_MSA" displayName="Tabla_MSA" ref="A1:D41" totalsRowShown="0" headerRowDxfId="18" dataDxfId="17">
  <autoFilter ref="A1:D41" xr:uid="{3F839F6F-551B-46CD-A1E2-C0C1E79E30FD}"/>
  <tableColumns count="4">
    <tableColumn id="1" xr3:uid="{38689673-E711-4A79-9036-890065C538DF}" name="Corrida" dataDxfId="22"/>
    <tableColumn id="2" xr3:uid="{708ED9D8-2B53-45B5-94B9-E9F7FE8884E4}" name="Operador" dataDxfId="21"/>
    <tableColumn id="3" xr3:uid="{89970710-C54E-4E0D-B182-06FF25C1A437}" name="Parte" dataDxfId="20"/>
    <tableColumn id="4" xr3:uid="{D5406F6C-7CE4-4C7A-9A7C-18416A4B49C5}" name="Medición" dataDxfId="19"/>
  </tableColumns>
  <tableStyleInfo name="TableStyleLight8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229128-97E0-486E-9EA6-1356840EE4C3}" name="Tabla_MP" displayName="Tabla_MP" ref="A1:B11" totalsRowShown="0" headerRowDxfId="16">
  <autoFilter ref="A1:B11" xr:uid="{A4229128-97E0-486E-9EA6-1356840EE4C3}"/>
  <tableColumns count="2">
    <tableColumn id="1" xr3:uid="{09255874-A99B-4FF7-A1AE-F4FAFE8F1EA8}" name="Pieza"/>
    <tableColumn id="2" xr3:uid="{1D40D85A-DB4A-4A45-8223-2F838AE3A79A}" name="Promedio" dataDxfId="15"/>
  </tableColumns>
  <tableStyleInfo name="TableStyleLight8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863491E-7CBE-4F2C-90B8-6D28B014E7FC}" name="Tabla_MO" displayName="Tabla_MO" ref="A1:B3" totalsRowShown="0" headerRowDxfId="14">
  <autoFilter ref="A1:B3" xr:uid="{B863491E-7CBE-4F2C-90B8-6D28B014E7FC}"/>
  <tableColumns count="2">
    <tableColumn id="1" xr3:uid="{9C911478-239B-443C-9967-A5BB2526CC32}" name="Operador"/>
    <tableColumn id="2" xr3:uid="{B5D89102-1A1E-49AF-942D-5A969DD43604}" name="Promedio" dataDxfId="13"/>
  </tableColumns>
  <tableStyleInfo name="TableStyleLight8" showFirstColumn="0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58E3C83-2FF8-4F09-BB66-4632A3EBB269}" name="Tabla_MPO" displayName="Tabla_MPO" ref="A1:C21" totalsRowShown="0" headerRowDxfId="12">
  <autoFilter ref="A1:C21" xr:uid="{C58E3C83-2FF8-4F09-BB66-4632A3EBB269}"/>
  <tableColumns count="3">
    <tableColumn id="1" xr3:uid="{C54329AF-0A91-4261-B237-650BE39A803A}" name="Operador"/>
    <tableColumn id="2" xr3:uid="{CC78EDB0-7303-482A-8008-4034CBD08702}" name="Pieza"/>
    <tableColumn id="3" xr3:uid="{8529FE49-BE59-492D-ADA9-4111DC82B1A0}" name="Promedio" dataDxfId="11"/>
  </tableColumns>
  <tableStyleInfo name="TableStyleLight8" showFirstColumn="0" showLastColumn="0" showRowStripes="1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57E9AC7-DDED-4C8B-9F00-D1A7EF508C6A}" name="Tabla_SS" displayName="Tabla_SS" ref="A1:D6" totalsRowShown="0" headerRowDxfId="10">
  <autoFilter ref="A1:D6" xr:uid="{A57E9AC7-DDED-4C8B-9F00-D1A7EF508C6A}"/>
  <tableColumns count="4">
    <tableColumn id="1" xr3:uid="{F90EBCDD-5A38-4F02-B912-5593C5201B28}" name="Fuente de variación" dataDxfId="9"/>
    <tableColumn id="2" xr3:uid="{49EE053E-14C1-44A6-9135-5A443A861BEC}" name="Grados de libertad" dataDxfId="8"/>
    <tableColumn id="3" xr3:uid="{7091BFEF-B507-4790-AD32-F907507DDC92}" name="Suma de cuadrados" dataDxfId="7"/>
    <tableColumn id="4" xr3:uid="{D3159939-D6C5-487C-9086-53F4C0EE4296}" name="Cuadrado medio" dataDxfId="6"/>
  </tableColumns>
  <tableStyleInfo name="TableStyleLight8" showFirstColumn="0" showLastColumn="0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6C22FBC-8691-43D7-9BFE-7A0BA61D6099}" name="Tabla_ComponentesVariacion" displayName="Tabla_ComponentesVariacion" ref="T2:W6" totalsRowShown="0">
  <autoFilter ref="T2:W6" xr:uid="{C6C22FBC-8691-43D7-9BFE-7A0BA61D6099}"/>
  <tableColumns count="4">
    <tableColumn id="1" xr3:uid="{BEFF0B7E-ADBD-460D-91E3-E11F1ACA9BBF}" name="Fuente" dataDxfId="5"/>
    <tableColumn id="2" xr3:uid="{C8C7ABD0-EC68-4274-A984-FF3CD923384A}" name="%Contribución" dataDxfId="4"/>
    <tableColumn id="3" xr3:uid="{B88BC82A-E5AF-45A0-BD39-83BF6DC36D96}" name="%Study Variation" dataDxfId="3"/>
    <tableColumn id="4" xr3:uid="{0B024482-D853-4728-8BAB-274050CA27D1}" name="%Tolerance" dataDxfId="2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9CB54F1-3769-439B-8DB4-80F0579F411F}" name="Tabla_PromediosPorPieza" displayName="Tabla_PromediosPorPieza" ref="T8:U18" totalsRowShown="0">
  <autoFilter ref="T8:U18" xr:uid="{C9CB54F1-3769-439B-8DB4-80F0579F411F}"/>
  <tableColumns count="2">
    <tableColumn id="1" xr3:uid="{E40982F5-6233-4E45-BC08-C761613FD684}" name="Pieza"/>
    <tableColumn id="2" xr3:uid="{220CAE35-CF1B-44C1-8EDE-37E244CDDC35}" name="Promedio de medición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792B4AF-F5F7-4EE1-97D4-C6B4C4C68FFD}" name="Tabla_RControlPorOperador" displayName="Tabla_RControlPorOperador" ref="T20:U40" totalsRowShown="0" headerRowDxfId="1">
  <autoFilter ref="T20:U40" xr:uid="{0792B4AF-F5F7-4EE1-97D4-C6B4C4C68FFD}"/>
  <tableColumns count="2">
    <tableColumn id="1" xr3:uid="{DDA9AA7C-EA11-47FC-ABAB-48AE233EFC3D}" name="Etiqueta"/>
    <tableColumn id="2" xr3:uid="{60010BC7-4D19-4AA7-BCA3-F2658DC191E3}" name="Rango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8BE3979-9106-487F-9639-D03EEEED6F77}" name="Tabla_XBarraPorOperador" displayName="Tabla_XBarraPorOperador" ref="T42:U62" totalsRowShown="0" headerRowDxfId="0">
  <autoFilter ref="T42:U62" xr:uid="{C8BE3979-9106-487F-9639-D03EEEED6F77}"/>
  <tableColumns count="2">
    <tableColumn id="1" xr3:uid="{F268C598-7BCC-4C87-B362-38BB614DA5D2}" name="Etiqueta"/>
    <tableColumn id="2" xr3:uid="{0A0C6EC1-ABE7-4BDB-BCF2-B8CD891C8943}" name="Media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235309E-2ACE-4B91-8FDB-D3EC535705C9}" name="Tabla_Interaccion" displayName="Tabla_Interaccion" ref="T64:V74" totalsRowShown="0">
  <autoFilter ref="T64:V74" xr:uid="{B235309E-2ACE-4B91-8FDB-D3EC535705C9}"/>
  <tableColumns count="3">
    <tableColumn id="1" xr3:uid="{E97728AF-EF15-4B7E-8D4B-D93EF39CFCC1}" name="Pieza"/>
    <tableColumn id="2" xr3:uid="{67B0A5C5-46F2-477C-8B37-A9728D5B4BA6}" name="Monica"/>
    <tableColumn id="3" xr3:uid="{E8496D37-7824-4A4C-BC5E-C9E6A7D4CFEF}" name="David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C2D4522-130D-4712-8190-BF11424A92F8}" name="Tabla_SV_Tol" displayName="Tabla_SV_Tol" ref="T76:V78" totalsRowShown="0">
  <autoFilter ref="T76:V78" xr:uid="{2C2D4522-130D-4712-8190-BF11424A92F8}"/>
  <tableColumns count="3">
    <tableColumn id="1" xr3:uid="{0E09E996-9338-4889-B541-115290FC870C}" name="Categoría"/>
    <tableColumn id="2" xr3:uid="{64A656AB-677D-4F2F-8C41-B72BA69B000D}" name="%Valor"/>
    <tableColumn id="3" xr3:uid="{9FA8ADC8-7B78-4599-AF16-09847AAF6821}" name="%Resto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drawing" Target="../drawings/drawing2.xml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16F3F-3424-4D56-B02D-D3D8F93C0A4C}">
  <sheetPr codeName="Sheet2"/>
  <dimension ref="B3:J14"/>
  <sheetViews>
    <sheetView showGridLines="0" showRowColHeaders="0" zoomScale="139" zoomScaleNormal="145" workbookViewId="0">
      <selection activeCell="H16" sqref="H16"/>
    </sheetView>
  </sheetViews>
  <sheetFormatPr defaultRowHeight="14.5" x14ac:dyDescent="0.35"/>
  <cols>
    <col min="2" max="2" width="1.7265625" customWidth="1"/>
    <col min="3" max="4" width="8.81640625" customWidth="1"/>
    <col min="5" max="5" width="1.7265625" customWidth="1"/>
    <col min="6" max="6" width="8.81640625" customWidth="1"/>
    <col min="7" max="7" width="1.7265625" customWidth="1"/>
    <col min="8" max="9" width="8.81640625" customWidth="1"/>
    <col min="10" max="10" width="1.7265625" customWidth="1"/>
    <col min="11" max="11" width="8.81640625" customWidth="1"/>
    <col min="12" max="12" width="5.453125" customWidth="1"/>
  </cols>
  <sheetData>
    <row r="3" spans="2:10" ht="10" customHeight="1" x14ac:dyDescent="0.35">
      <c r="B3" s="3"/>
      <c r="C3" s="3"/>
      <c r="D3" s="3"/>
      <c r="E3" s="3"/>
      <c r="G3" s="2"/>
      <c r="H3" s="2"/>
      <c r="I3" s="2"/>
      <c r="J3" s="2"/>
    </row>
    <row r="4" spans="2:10" x14ac:dyDescent="0.35">
      <c r="B4" s="3"/>
      <c r="C4" s="3"/>
      <c r="D4" s="3"/>
      <c r="E4" s="3"/>
      <c r="G4" s="2"/>
      <c r="H4" s="2"/>
      <c r="I4" s="2"/>
      <c r="J4" s="2"/>
    </row>
    <row r="5" spans="2:10" x14ac:dyDescent="0.35">
      <c r="B5" s="3"/>
      <c r="C5" s="3"/>
      <c r="D5" s="3"/>
      <c r="E5" s="3"/>
      <c r="G5" s="2"/>
      <c r="H5" s="2"/>
      <c r="I5" s="2"/>
      <c r="J5" s="2"/>
    </row>
    <row r="6" spans="2:10" x14ac:dyDescent="0.35">
      <c r="B6" s="3"/>
      <c r="C6" s="3"/>
      <c r="D6" s="3"/>
      <c r="E6" s="3"/>
      <c r="G6" s="2"/>
      <c r="H6" s="2"/>
      <c r="I6" s="2"/>
      <c r="J6" s="2"/>
    </row>
    <row r="7" spans="2:10" ht="10" customHeight="1" x14ac:dyDescent="0.35">
      <c r="B7" s="3"/>
      <c r="C7" s="3"/>
      <c r="D7" s="3"/>
      <c r="E7" s="3"/>
      <c r="G7" s="2"/>
      <c r="H7" s="2"/>
      <c r="I7" s="2"/>
      <c r="J7" s="2"/>
    </row>
    <row r="8" spans="2:10" ht="8.25" customHeight="1" x14ac:dyDescent="0.35"/>
    <row r="9" spans="2:10" ht="10" customHeight="1" x14ac:dyDescent="0.35">
      <c r="B9" s="4"/>
      <c r="C9" s="4"/>
      <c r="D9" s="4"/>
      <c r="E9" s="4"/>
      <c r="G9" s="2"/>
      <c r="H9" s="2"/>
      <c r="I9" s="2"/>
      <c r="J9" s="2"/>
    </row>
    <row r="10" spans="2:10" x14ac:dyDescent="0.35">
      <c r="B10" s="4"/>
      <c r="C10" s="4"/>
      <c r="D10" s="4"/>
      <c r="E10" s="4"/>
      <c r="G10" s="2"/>
      <c r="H10" s="2"/>
      <c r="I10" s="2"/>
      <c r="J10" s="2"/>
    </row>
    <row r="11" spans="2:10" x14ac:dyDescent="0.35">
      <c r="B11" s="4"/>
      <c r="C11" s="4"/>
      <c r="D11" s="4"/>
      <c r="E11" s="4"/>
      <c r="G11" s="2"/>
      <c r="H11" s="2"/>
      <c r="I11" s="2"/>
      <c r="J11" s="2"/>
    </row>
    <row r="12" spans="2:10" x14ac:dyDescent="0.35">
      <c r="B12" s="4"/>
      <c r="C12" s="4"/>
      <c r="D12" s="4"/>
      <c r="E12" s="4"/>
      <c r="G12" s="2"/>
      <c r="H12" s="2"/>
      <c r="I12" s="2"/>
      <c r="J12" s="2"/>
    </row>
    <row r="13" spans="2:10" ht="10" customHeight="1" x14ac:dyDescent="0.35">
      <c r="B13" s="4"/>
      <c r="C13" s="4"/>
      <c r="D13" s="4"/>
      <c r="E13" s="4"/>
      <c r="G13" s="2"/>
      <c r="H13" s="2"/>
      <c r="I13" s="2"/>
      <c r="J13" s="2"/>
    </row>
    <row r="14" spans="2:10" ht="16.5" customHeight="1" x14ac:dyDescent="0.35"/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headerFooter>
    <oddFooter>&amp;C_x000D_&amp;1#&amp;"Calibri"&amp;6&amp;K626469 General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ostrarFormularioMSA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FormatearTablaMSADato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8</xdr:col>
                    <xdr:colOff>590550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0]!GenerarResumenMSA">
                <anchor moveWithCells="1" siz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LimpiarHojasDeCalculo">
                <anchor moveWithCells="1" sizeWithCells="1">
                  <from>
                    <xdr:col>7</xdr:col>
                    <xdr:colOff>0</xdr:colOff>
                    <xdr:row>8</xdr:row>
                    <xdr:rowOff>190500</xdr:rowOff>
                  </from>
                  <to>
                    <xdr:col>8</xdr:col>
                    <xdr:colOff>590550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9B967-3BEC-4ECD-B4B1-24096665DC5F}">
  <sheetPr codeName="Sheet1"/>
  <dimension ref="A1:D41"/>
  <sheetViews>
    <sheetView showGridLines="0" zoomScale="96" zoomScaleNormal="85" workbookViewId="0">
      <selection activeCell="D45" sqref="D45"/>
    </sheetView>
  </sheetViews>
  <sheetFormatPr defaultRowHeight="14.5" x14ac:dyDescent="0.35"/>
  <cols>
    <col min="1" max="1" width="11.6328125" bestFit="1" customWidth="1"/>
    <col min="2" max="2" width="13.36328125" bestFit="1" customWidth="1"/>
    <col min="3" max="3" width="9.90625" bestFit="1" customWidth="1"/>
    <col min="4" max="4" width="13.08984375" style="5" bestFit="1" customWidth="1"/>
  </cols>
  <sheetData>
    <row r="1" spans="1:4" x14ac:dyDescent="0.35">
      <c r="A1" s="1" t="s">
        <v>0</v>
      </c>
      <c r="B1" s="1" t="s">
        <v>1</v>
      </c>
      <c r="C1" s="1" t="s">
        <v>3</v>
      </c>
      <c r="D1" s="6" t="s">
        <v>2</v>
      </c>
    </row>
    <row r="2" spans="1:4" x14ac:dyDescent="0.35">
      <c r="A2" s="1">
        <v>1</v>
      </c>
      <c r="B2" s="1" t="s">
        <v>8</v>
      </c>
      <c r="C2" s="1" t="s">
        <v>4</v>
      </c>
      <c r="D2" s="6">
        <v>0.23899999999999999</v>
      </c>
    </row>
    <row r="3" spans="1:4" x14ac:dyDescent="0.35">
      <c r="A3" s="1">
        <v>2</v>
      </c>
      <c r="B3" s="1" t="s">
        <v>8</v>
      </c>
      <c r="C3" s="1" t="s">
        <v>5</v>
      </c>
      <c r="D3" s="6">
        <v>0.23400000000000001</v>
      </c>
    </row>
    <row r="4" spans="1:4" x14ac:dyDescent="0.35">
      <c r="A4" s="1">
        <v>3</v>
      </c>
      <c r="B4" s="1" t="s">
        <v>8</v>
      </c>
      <c r="C4" s="1" t="s">
        <v>6</v>
      </c>
      <c r="D4" s="6">
        <v>0.24099999999999999</v>
      </c>
    </row>
    <row r="5" spans="1:4" x14ac:dyDescent="0.35">
      <c r="A5" s="1">
        <v>4</v>
      </c>
      <c r="B5" s="1" t="s">
        <v>8</v>
      </c>
      <c r="C5" s="1" t="s">
        <v>7</v>
      </c>
      <c r="D5" s="6">
        <v>0.26300000000000001</v>
      </c>
    </row>
    <row r="6" spans="1:4" x14ac:dyDescent="0.35">
      <c r="A6" s="1">
        <v>5</v>
      </c>
      <c r="B6" s="1" t="s">
        <v>8</v>
      </c>
      <c r="C6" s="1" t="s">
        <v>58</v>
      </c>
      <c r="D6" s="6">
        <v>0.26</v>
      </c>
    </row>
    <row r="7" spans="1:4" x14ac:dyDescent="0.35">
      <c r="A7" s="1">
        <v>6</v>
      </c>
      <c r="B7" s="1" t="s">
        <v>8</v>
      </c>
      <c r="C7" s="1" t="s">
        <v>61</v>
      </c>
      <c r="D7" s="6">
        <v>0.254</v>
      </c>
    </row>
    <row r="8" spans="1:4" x14ac:dyDescent="0.35">
      <c r="A8" s="1">
        <v>7</v>
      </c>
      <c r="B8" s="1" t="s">
        <v>8</v>
      </c>
      <c r="C8" s="1" t="s">
        <v>62</v>
      </c>
      <c r="D8" s="6">
        <v>0.24299999999999999</v>
      </c>
    </row>
    <row r="9" spans="1:4" x14ac:dyDescent="0.35">
      <c r="A9" s="1">
        <v>8</v>
      </c>
      <c r="B9" s="1" t="s">
        <v>8</v>
      </c>
      <c r="C9" s="1" t="s">
        <v>63</v>
      </c>
      <c r="D9" s="6">
        <v>0.251</v>
      </c>
    </row>
    <row r="10" spans="1:4" x14ac:dyDescent="0.35">
      <c r="A10" s="1">
        <v>9</v>
      </c>
      <c r="B10" s="1" t="s">
        <v>8</v>
      </c>
      <c r="C10" s="1" t="s">
        <v>64</v>
      </c>
      <c r="D10" s="6">
        <v>0.25700000000000001</v>
      </c>
    </row>
    <row r="11" spans="1:4" x14ac:dyDescent="0.35">
      <c r="A11" s="1">
        <v>10</v>
      </c>
      <c r="B11" s="1" t="s">
        <v>8</v>
      </c>
      <c r="C11" s="1" t="s">
        <v>65</v>
      </c>
      <c r="D11" s="6">
        <v>0.26200000000000001</v>
      </c>
    </row>
    <row r="12" spans="1:4" x14ac:dyDescent="0.35">
      <c r="A12" s="1">
        <v>11</v>
      </c>
      <c r="B12" s="1" t="s">
        <v>53</v>
      </c>
      <c r="C12" s="1" t="s">
        <v>4</v>
      </c>
      <c r="D12" s="6">
        <v>0.23900000000000002</v>
      </c>
    </row>
    <row r="13" spans="1:4" x14ac:dyDescent="0.35">
      <c r="A13" s="1">
        <v>12</v>
      </c>
      <c r="B13" s="1" t="s">
        <v>53</v>
      </c>
      <c r="C13" s="1" t="s">
        <v>5</v>
      </c>
      <c r="D13" s="6">
        <v>0.23499999999999999</v>
      </c>
    </row>
    <row r="14" spans="1:4" x14ac:dyDescent="0.35">
      <c r="A14" s="1">
        <v>13</v>
      </c>
      <c r="B14" s="1" t="s">
        <v>53</v>
      </c>
      <c r="C14" s="1" t="s">
        <v>6</v>
      </c>
      <c r="D14" s="6">
        <v>0.24099999999999999</v>
      </c>
    </row>
    <row r="15" spans="1:4" x14ac:dyDescent="0.35">
      <c r="A15" s="1">
        <v>14</v>
      </c>
      <c r="B15" s="1" t="s">
        <v>53</v>
      </c>
      <c r="C15" s="1" t="s">
        <v>7</v>
      </c>
      <c r="D15" s="6">
        <v>0.26300000000000001</v>
      </c>
    </row>
    <row r="16" spans="1:4" x14ac:dyDescent="0.35">
      <c r="A16" s="1">
        <v>15</v>
      </c>
      <c r="B16" s="1" t="s">
        <v>53</v>
      </c>
      <c r="C16" s="1" t="s">
        <v>58</v>
      </c>
      <c r="D16" s="6">
        <v>0.26</v>
      </c>
    </row>
    <row r="17" spans="1:4" x14ac:dyDescent="0.35">
      <c r="A17" s="1">
        <v>16</v>
      </c>
      <c r="B17" s="1" t="s">
        <v>53</v>
      </c>
      <c r="C17" s="1" t="s">
        <v>61</v>
      </c>
      <c r="D17" s="6">
        <v>0.254</v>
      </c>
    </row>
    <row r="18" spans="1:4" x14ac:dyDescent="0.35">
      <c r="A18" s="1">
        <v>17</v>
      </c>
      <c r="B18" s="1" t="s">
        <v>53</v>
      </c>
      <c r="C18" s="1" t="s">
        <v>62</v>
      </c>
      <c r="D18" s="6">
        <v>0.24399999999999999</v>
      </c>
    </row>
    <row r="19" spans="1:4" x14ac:dyDescent="0.35">
      <c r="A19" s="1">
        <v>18</v>
      </c>
      <c r="B19" s="1" t="s">
        <v>53</v>
      </c>
      <c r="C19" s="1" t="s">
        <v>63</v>
      </c>
      <c r="D19" s="6">
        <v>0.251</v>
      </c>
    </row>
    <row r="20" spans="1:4" x14ac:dyDescent="0.35">
      <c r="A20" s="1">
        <v>19</v>
      </c>
      <c r="B20" s="1" t="s">
        <v>53</v>
      </c>
      <c r="C20" s="1" t="s">
        <v>64</v>
      </c>
      <c r="D20" s="6">
        <v>0.25800000000000001</v>
      </c>
    </row>
    <row r="21" spans="1:4" x14ac:dyDescent="0.35">
      <c r="A21" s="1">
        <v>20</v>
      </c>
      <c r="B21" s="1" t="s">
        <v>53</v>
      </c>
      <c r="C21" s="1" t="s">
        <v>65</v>
      </c>
      <c r="D21" s="6">
        <v>0.26200000000000001</v>
      </c>
    </row>
    <row r="22" spans="1:4" x14ac:dyDescent="0.35">
      <c r="A22" s="1">
        <v>21</v>
      </c>
      <c r="B22" s="1" t="s">
        <v>8</v>
      </c>
      <c r="C22" s="1" t="s">
        <v>4</v>
      </c>
      <c r="D22" s="6">
        <v>0.23899999999999999</v>
      </c>
    </row>
    <row r="23" spans="1:4" x14ac:dyDescent="0.35">
      <c r="A23" s="1">
        <v>22</v>
      </c>
      <c r="B23" s="1" t="s">
        <v>8</v>
      </c>
      <c r="C23" s="1" t="s">
        <v>5</v>
      </c>
      <c r="D23" s="6">
        <v>0.23499999999999999</v>
      </c>
    </row>
    <row r="24" spans="1:4" x14ac:dyDescent="0.35">
      <c r="A24" s="1">
        <v>23</v>
      </c>
      <c r="B24" s="1" t="s">
        <v>8</v>
      </c>
      <c r="C24" s="1" t="s">
        <v>6</v>
      </c>
      <c r="D24" s="6">
        <v>0.24099999999999999</v>
      </c>
    </row>
    <row r="25" spans="1:4" x14ac:dyDescent="0.35">
      <c r="A25" s="1">
        <v>24</v>
      </c>
      <c r="B25" s="1" t="s">
        <v>8</v>
      </c>
      <c r="C25" s="1" t="s">
        <v>7</v>
      </c>
      <c r="D25" s="6">
        <v>0.26300000000000001</v>
      </c>
    </row>
    <row r="26" spans="1:4" x14ac:dyDescent="0.35">
      <c r="A26" s="1">
        <v>25</v>
      </c>
      <c r="B26" s="1" t="s">
        <v>8</v>
      </c>
      <c r="C26" s="1" t="s">
        <v>58</v>
      </c>
      <c r="D26" s="6">
        <v>0.26</v>
      </c>
    </row>
    <row r="27" spans="1:4" x14ac:dyDescent="0.35">
      <c r="A27" s="1">
        <v>26</v>
      </c>
      <c r="B27" s="1" t="s">
        <v>8</v>
      </c>
      <c r="C27" s="1" t="s">
        <v>61</v>
      </c>
      <c r="D27" s="6">
        <v>0.254</v>
      </c>
    </row>
    <row r="28" spans="1:4" x14ac:dyDescent="0.35">
      <c r="A28" s="1">
        <v>27</v>
      </c>
      <c r="B28" s="1" t="s">
        <v>8</v>
      </c>
      <c r="C28" s="1" t="s">
        <v>62</v>
      </c>
      <c r="D28" s="6">
        <v>0.24299999999999999</v>
      </c>
    </row>
    <row r="29" spans="1:4" x14ac:dyDescent="0.35">
      <c r="A29" s="1">
        <v>28</v>
      </c>
      <c r="B29" s="1" t="s">
        <v>8</v>
      </c>
      <c r="C29" s="1" t="s">
        <v>63</v>
      </c>
      <c r="D29" s="6">
        <v>0.251</v>
      </c>
    </row>
    <row r="30" spans="1:4" x14ac:dyDescent="0.35">
      <c r="A30" s="1">
        <v>29</v>
      </c>
      <c r="B30" s="1" t="s">
        <v>8</v>
      </c>
      <c r="C30" s="1" t="s">
        <v>64</v>
      </c>
      <c r="D30" s="6">
        <v>0.25700000000000001</v>
      </c>
    </row>
    <row r="31" spans="1:4" x14ac:dyDescent="0.35">
      <c r="A31" s="1">
        <v>30</v>
      </c>
      <c r="B31" s="1" t="s">
        <v>8</v>
      </c>
      <c r="C31" s="1" t="s">
        <v>65</v>
      </c>
      <c r="D31" s="6">
        <v>0.26200000000000001</v>
      </c>
    </row>
    <row r="32" spans="1:4" x14ac:dyDescent="0.35">
      <c r="A32" s="1">
        <v>31</v>
      </c>
      <c r="B32" s="1" t="s">
        <v>53</v>
      </c>
      <c r="C32" s="1" t="s">
        <v>4</v>
      </c>
      <c r="D32" s="6">
        <v>0.24</v>
      </c>
    </row>
    <row r="33" spans="1:4" x14ac:dyDescent="0.35">
      <c r="A33" s="1">
        <v>32</v>
      </c>
      <c r="B33" s="1" t="s">
        <v>53</v>
      </c>
      <c r="C33" s="1" t="s">
        <v>5</v>
      </c>
      <c r="D33" s="6">
        <v>0.23599999999999999</v>
      </c>
    </row>
    <row r="34" spans="1:4" x14ac:dyDescent="0.35">
      <c r="A34" s="1">
        <v>33</v>
      </c>
      <c r="B34" s="1" t="s">
        <v>53</v>
      </c>
      <c r="C34" s="1" t="s">
        <v>6</v>
      </c>
      <c r="D34" s="6">
        <v>0.24199999999999999</v>
      </c>
    </row>
    <row r="35" spans="1:4" x14ac:dyDescent="0.35">
      <c r="A35" s="1">
        <v>34</v>
      </c>
      <c r="B35" s="1" t="s">
        <v>53</v>
      </c>
      <c r="C35" s="1" t="s">
        <v>7</v>
      </c>
      <c r="D35" s="6">
        <v>0.26300000000000001</v>
      </c>
    </row>
    <row r="36" spans="1:4" x14ac:dyDescent="0.35">
      <c r="A36" s="1">
        <v>35</v>
      </c>
      <c r="B36" s="1" t="s">
        <v>53</v>
      </c>
      <c r="C36" s="1" t="s">
        <v>58</v>
      </c>
      <c r="D36" s="6">
        <v>0.26100000000000001</v>
      </c>
    </row>
    <row r="37" spans="1:4" x14ac:dyDescent="0.35">
      <c r="A37" s="1">
        <v>36</v>
      </c>
      <c r="B37" s="1" t="s">
        <v>53</v>
      </c>
      <c r="C37" s="1" t="s">
        <v>61</v>
      </c>
      <c r="D37" s="6">
        <v>0.254</v>
      </c>
    </row>
    <row r="38" spans="1:4" x14ac:dyDescent="0.35">
      <c r="A38" s="1">
        <v>37</v>
      </c>
      <c r="B38" s="1" t="s">
        <v>53</v>
      </c>
      <c r="C38" s="1" t="s">
        <v>62</v>
      </c>
      <c r="D38" s="6">
        <v>0.24399999999999999</v>
      </c>
    </row>
    <row r="39" spans="1:4" x14ac:dyDescent="0.35">
      <c r="A39" s="1">
        <v>38</v>
      </c>
      <c r="B39" s="1" t="s">
        <v>53</v>
      </c>
      <c r="C39" s="1" t="s">
        <v>63</v>
      </c>
      <c r="D39" s="6">
        <v>0.251</v>
      </c>
    </row>
    <row r="40" spans="1:4" x14ac:dyDescent="0.35">
      <c r="A40" s="1">
        <v>39</v>
      </c>
      <c r="B40" s="1" t="s">
        <v>53</v>
      </c>
      <c r="C40" s="1" t="s">
        <v>64</v>
      </c>
      <c r="D40" s="6">
        <v>0.25800000000000001</v>
      </c>
    </row>
    <row r="41" spans="1:4" x14ac:dyDescent="0.35">
      <c r="A41" s="1">
        <v>40</v>
      </c>
      <c r="B41" s="1" t="s">
        <v>53</v>
      </c>
      <c r="C41" s="1" t="s">
        <v>65</v>
      </c>
      <c r="D41" s="6">
        <v>0.26300000000000001</v>
      </c>
    </row>
  </sheetData>
  <pageMargins left="0.7" right="0.7" top="0.75" bottom="0.75" header="0.3" footer="0.3"/>
  <headerFooter>
    <oddFooter>&amp;C_x000D_&amp;1#&amp;"Calibri"&amp;6&amp;K626469 General</oddFooter>
  </headerFooter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93D68-E034-403B-8930-55AB47D8EED8}">
  <sheetPr codeName="Sheet3"/>
  <dimension ref="A1:B11"/>
  <sheetViews>
    <sheetView zoomScale="130" zoomScaleNormal="130" workbookViewId="0">
      <selection activeCell="F31" sqref="F31"/>
    </sheetView>
  </sheetViews>
  <sheetFormatPr defaultRowHeight="14.5" x14ac:dyDescent="0.35"/>
  <cols>
    <col min="1" max="1" width="9.81640625" bestFit="1" customWidth="1"/>
    <col min="2" max="2" width="13.36328125" style="12" bestFit="1" customWidth="1"/>
  </cols>
  <sheetData>
    <row r="1" spans="1:2" x14ac:dyDescent="0.35">
      <c r="A1" s="8" t="s">
        <v>9</v>
      </c>
      <c r="B1" s="10" t="s">
        <v>10</v>
      </c>
    </row>
    <row r="2" spans="1:2" x14ac:dyDescent="0.35">
      <c r="A2" s="9" t="s">
        <v>4</v>
      </c>
      <c r="B2" s="11">
        <v>0.23924999999999999</v>
      </c>
    </row>
    <row r="3" spans="1:2" x14ac:dyDescent="0.35">
      <c r="A3" s="9" t="s">
        <v>5</v>
      </c>
      <c r="B3" s="11">
        <v>0.23499999999999999</v>
      </c>
    </row>
    <row r="4" spans="1:2" x14ac:dyDescent="0.35">
      <c r="A4" s="9" t="s">
        <v>6</v>
      </c>
      <c r="B4" s="11">
        <v>0.24124999999999999</v>
      </c>
    </row>
    <row r="5" spans="1:2" x14ac:dyDescent="0.35">
      <c r="A5" s="9" t="s">
        <v>7</v>
      </c>
      <c r="B5" s="11">
        <v>0.26300000000000001</v>
      </c>
    </row>
    <row r="6" spans="1:2" x14ac:dyDescent="0.35">
      <c r="A6" s="9" t="s">
        <v>58</v>
      </c>
      <c r="B6" s="11">
        <v>0.26024999999999998</v>
      </c>
    </row>
    <row r="7" spans="1:2" x14ac:dyDescent="0.35">
      <c r="A7" s="9" t="s">
        <v>61</v>
      </c>
      <c r="B7" s="11">
        <v>0.254</v>
      </c>
    </row>
    <row r="8" spans="1:2" x14ac:dyDescent="0.35">
      <c r="A8" s="9" t="s">
        <v>62</v>
      </c>
      <c r="B8" s="11">
        <v>0.24349999999999999</v>
      </c>
    </row>
    <row r="9" spans="1:2" x14ac:dyDescent="0.35">
      <c r="A9" s="9" t="s">
        <v>63</v>
      </c>
      <c r="B9" s="11">
        <v>0.251</v>
      </c>
    </row>
    <row r="10" spans="1:2" x14ac:dyDescent="0.35">
      <c r="A10" s="9" t="s">
        <v>64</v>
      </c>
      <c r="B10" s="11">
        <v>0.25750000000000001</v>
      </c>
    </row>
    <row r="11" spans="1:2" x14ac:dyDescent="0.35">
      <c r="A11" s="9" t="s">
        <v>65</v>
      </c>
      <c r="B11" s="11">
        <v>0.26224999999999998</v>
      </c>
    </row>
  </sheetData>
  <pageMargins left="0.7" right="0.7" top="0.75" bottom="0.75" header="0.3" footer="0.3"/>
  <headerFooter>
    <oddFooter>&amp;C_x000D_&amp;1#&amp;"Calibri"&amp;6&amp;K626469 General</oddFooter>
  </headerFooter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99FDA-D908-48B1-9BF0-A6C521E5F64D}">
  <sheetPr codeName="Sheet4"/>
  <dimension ref="A1:B3"/>
  <sheetViews>
    <sheetView zoomScale="115" zoomScaleNormal="115" workbookViewId="0">
      <selection activeCell="B6" sqref="B6"/>
    </sheetView>
  </sheetViews>
  <sheetFormatPr defaultRowHeight="14.5" x14ac:dyDescent="0.35"/>
  <cols>
    <col min="1" max="1" width="13.08984375" bestFit="1" customWidth="1"/>
    <col min="2" max="2" width="13.36328125" style="12" bestFit="1" customWidth="1"/>
    <col min="4" max="4" width="11.81640625" bestFit="1" customWidth="1"/>
  </cols>
  <sheetData>
    <row r="1" spans="1:2" x14ac:dyDescent="0.35">
      <c r="A1" s="8" t="s">
        <v>1</v>
      </c>
      <c r="B1" s="10" t="s">
        <v>10</v>
      </c>
    </row>
    <row r="2" spans="1:2" x14ac:dyDescent="0.35">
      <c r="A2" s="9" t="s">
        <v>8</v>
      </c>
      <c r="B2" s="11">
        <v>0.25045000000000001</v>
      </c>
    </row>
    <row r="3" spans="1:2" x14ac:dyDescent="0.35">
      <c r="A3" s="9" t="s">
        <v>53</v>
      </c>
      <c r="B3" s="11">
        <v>0.25095000000000001</v>
      </c>
    </row>
  </sheetData>
  <pageMargins left="0.7" right="0.7" top="0.75" bottom="0.75" header="0.3" footer="0.3"/>
  <headerFooter>
    <oddFooter>&amp;C_x000D_&amp;1#&amp;"Calibri"&amp;6&amp;K626469 General</oddFooter>
  </headerFooter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4E19C-55A1-48E8-8E3D-0EADC6B0966B}">
  <sheetPr codeName="Sheet5"/>
  <dimension ref="A1:C21"/>
  <sheetViews>
    <sheetView zoomScale="85" zoomScaleNormal="85" workbookViewId="0">
      <selection activeCell="C21" sqref="C21"/>
    </sheetView>
  </sheetViews>
  <sheetFormatPr defaultRowHeight="14.5" x14ac:dyDescent="0.35"/>
  <cols>
    <col min="1" max="1" width="14.1796875" bestFit="1" customWidth="1"/>
    <col min="2" max="2" width="10.81640625" bestFit="1" customWidth="1"/>
    <col min="3" max="3" width="14.453125" style="12" bestFit="1" customWidth="1"/>
    <col min="4" max="5" width="8.7265625" customWidth="1"/>
    <col min="8" max="9" width="8.7265625" customWidth="1"/>
  </cols>
  <sheetData>
    <row r="1" spans="1:3" x14ac:dyDescent="0.35">
      <c r="A1" s="8" t="s">
        <v>1</v>
      </c>
      <c r="B1" s="8" t="s">
        <v>9</v>
      </c>
      <c r="C1" s="10" t="s">
        <v>10</v>
      </c>
    </row>
    <row r="2" spans="1:3" x14ac:dyDescent="0.35">
      <c r="A2" s="9" t="s">
        <v>8</v>
      </c>
      <c r="B2" s="9" t="s">
        <v>4</v>
      </c>
      <c r="C2" s="11">
        <v>0.23899999999999999</v>
      </c>
    </row>
    <row r="3" spans="1:3" x14ac:dyDescent="0.35">
      <c r="A3" s="9" t="s">
        <v>8</v>
      </c>
      <c r="B3" s="9" t="s">
        <v>5</v>
      </c>
      <c r="C3" s="11">
        <v>0.23449999999999999</v>
      </c>
    </row>
    <row r="4" spans="1:3" x14ac:dyDescent="0.35">
      <c r="A4" s="9" t="s">
        <v>8</v>
      </c>
      <c r="B4" s="9" t="s">
        <v>6</v>
      </c>
      <c r="C4" s="11">
        <v>0.24099999999999999</v>
      </c>
    </row>
    <row r="5" spans="1:3" x14ac:dyDescent="0.35">
      <c r="A5" s="9" t="s">
        <v>8</v>
      </c>
      <c r="B5" s="9" t="s">
        <v>7</v>
      </c>
      <c r="C5" s="11">
        <v>0.26300000000000001</v>
      </c>
    </row>
    <row r="6" spans="1:3" x14ac:dyDescent="0.35">
      <c r="A6" s="9" t="s">
        <v>8</v>
      </c>
      <c r="B6" s="9" t="s">
        <v>58</v>
      </c>
      <c r="C6" s="11">
        <v>0.26</v>
      </c>
    </row>
    <row r="7" spans="1:3" x14ac:dyDescent="0.35">
      <c r="A7" s="9" t="s">
        <v>8</v>
      </c>
      <c r="B7" s="9" t="s">
        <v>61</v>
      </c>
      <c r="C7" s="11">
        <v>0.254</v>
      </c>
    </row>
    <row r="8" spans="1:3" x14ac:dyDescent="0.35">
      <c r="A8" s="9" t="s">
        <v>8</v>
      </c>
      <c r="B8" s="9" t="s">
        <v>62</v>
      </c>
      <c r="C8" s="11">
        <v>0.24299999999999999</v>
      </c>
    </row>
    <row r="9" spans="1:3" x14ac:dyDescent="0.35">
      <c r="A9" s="9" t="s">
        <v>8</v>
      </c>
      <c r="B9" s="9" t="s">
        <v>63</v>
      </c>
      <c r="C9" s="11">
        <v>0.251</v>
      </c>
    </row>
    <row r="10" spans="1:3" x14ac:dyDescent="0.35">
      <c r="A10" s="9" t="s">
        <v>8</v>
      </c>
      <c r="B10" s="9" t="s">
        <v>64</v>
      </c>
      <c r="C10" s="11">
        <v>0.25700000000000001</v>
      </c>
    </row>
    <row r="11" spans="1:3" x14ac:dyDescent="0.35">
      <c r="A11" s="9" t="s">
        <v>8</v>
      </c>
      <c r="B11" s="9" t="s">
        <v>65</v>
      </c>
      <c r="C11" s="11">
        <v>0.26200000000000001</v>
      </c>
    </row>
    <row r="12" spans="1:3" x14ac:dyDescent="0.35">
      <c r="A12" s="9" t="s">
        <v>53</v>
      </c>
      <c r="B12" s="9" t="s">
        <v>4</v>
      </c>
      <c r="C12" s="11">
        <v>0.23949999999999999</v>
      </c>
    </row>
    <row r="13" spans="1:3" x14ac:dyDescent="0.35">
      <c r="A13" s="9" t="s">
        <v>53</v>
      </c>
      <c r="B13" s="9" t="s">
        <v>5</v>
      </c>
      <c r="C13" s="11">
        <v>0.23549999999999999</v>
      </c>
    </row>
    <row r="14" spans="1:3" x14ac:dyDescent="0.35">
      <c r="A14" s="9" t="s">
        <v>53</v>
      </c>
      <c r="B14" s="9" t="s">
        <v>6</v>
      </c>
      <c r="C14" s="11">
        <v>0.24149999999999999</v>
      </c>
    </row>
    <row r="15" spans="1:3" x14ac:dyDescent="0.35">
      <c r="A15" s="9" t="s">
        <v>53</v>
      </c>
      <c r="B15" s="9" t="s">
        <v>7</v>
      </c>
      <c r="C15" s="11">
        <v>0.26300000000000001</v>
      </c>
    </row>
    <row r="16" spans="1:3" x14ac:dyDescent="0.35">
      <c r="A16" s="9" t="s">
        <v>53</v>
      </c>
      <c r="B16" s="9" t="s">
        <v>58</v>
      </c>
      <c r="C16" s="11">
        <v>0.26050000000000001</v>
      </c>
    </row>
    <row r="17" spans="1:3" x14ac:dyDescent="0.35">
      <c r="A17" s="9" t="s">
        <v>53</v>
      </c>
      <c r="B17" s="9" t="s">
        <v>61</v>
      </c>
      <c r="C17" s="11">
        <v>0.254</v>
      </c>
    </row>
    <row r="18" spans="1:3" x14ac:dyDescent="0.35">
      <c r="A18" s="9" t="s">
        <v>53</v>
      </c>
      <c r="B18" s="9" t="s">
        <v>62</v>
      </c>
      <c r="C18" s="11">
        <v>0.24399999999999999</v>
      </c>
    </row>
    <row r="19" spans="1:3" x14ac:dyDescent="0.35">
      <c r="A19" s="9" t="s">
        <v>53</v>
      </c>
      <c r="B19" s="9" t="s">
        <v>63</v>
      </c>
      <c r="C19" s="11">
        <v>0.251</v>
      </c>
    </row>
    <row r="20" spans="1:3" x14ac:dyDescent="0.35">
      <c r="A20" s="9" t="s">
        <v>53</v>
      </c>
      <c r="B20" s="9" t="s">
        <v>64</v>
      </c>
      <c r="C20" s="11">
        <v>0.25800000000000001</v>
      </c>
    </row>
    <row r="21" spans="1:3" x14ac:dyDescent="0.35">
      <c r="A21" s="9" t="s">
        <v>53</v>
      </c>
      <c r="B21" s="9" t="s">
        <v>65</v>
      </c>
      <c r="C21" s="11">
        <v>0.26250000000000001</v>
      </c>
    </row>
  </sheetData>
  <phoneticPr fontId="1" type="noConversion"/>
  <pageMargins left="0.7" right="0.7" top="0.75" bottom="0.75" header="0.3" footer="0.3"/>
  <headerFooter>
    <oddFooter>&amp;C_x000D_&amp;1#&amp;"Calibri"&amp;6&amp;K626469 General</oddFooter>
  </headerFooter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C54E7-0999-46C2-A8FD-959741EAF7BA}">
  <sheetPr codeName="Sheet6"/>
  <dimension ref="A1:D6"/>
  <sheetViews>
    <sheetView workbookViewId="0">
      <selection activeCell="D30" sqref="D30"/>
    </sheetView>
  </sheetViews>
  <sheetFormatPr defaultRowHeight="14.5" x14ac:dyDescent="0.35"/>
  <cols>
    <col min="1" max="1" width="25.7265625" bestFit="1" customWidth="1"/>
    <col min="2" max="2" width="22.453125" bestFit="1" customWidth="1"/>
    <col min="3" max="3" width="23.26953125" bestFit="1" customWidth="1"/>
    <col min="4" max="4" width="20.54296875" bestFit="1" customWidth="1"/>
    <col min="5" max="5" width="7.81640625" bestFit="1" customWidth="1"/>
  </cols>
  <sheetData>
    <row r="1" spans="1:4" x14ac:dyDescent="0.35">
      <c r="A1" s="7" t="s">
        <v>11</v>
      </c>
      <c r="B1" s="7" t="s">
        <v>12</v>
      </c>
      <c r="C1" s="7" t="s">
        <v>13</v>
      </c>
      <c r="D1" s="7" t="s">
        <v>14</v>
      </c>
    </row>
    <row r="2" spans="1:4" x14ac:dyDescent="0.35">
      <c r="A2" s="13" t="s">
        <v>3</v>
      </c>
      <c r="B2" s="1">
        <v>9</v>
      </c>
      <c r="C2" s="14">
        <v>1.9037000000000008E-3</v>
      </c>
      <c r="D2" s="14">
        <f>C2/B2</f>
        <v>2.115222222222223E-4</v>
      </c>
    </row>
    <row r="3" spans="1:4" x14ac:dyDescent="0.35">
      <c r="A3" s="13" t="s">
        <v>1</v>
      </c>
      <c r="B3" s="1">
        <v>1</v>
      </c>
      <c r="C3" s="14">
        <v>1.2500000000000022E-6</v>
      </c>
      <c r="D3" s="14">
        <f>C3/B3</f>
        <v>1.2500000000000022E-6</v>
      </c>
    </row>
    <row r="4" spans="1:4" x14ac:dyDescent="0.35">
      <c r="A4" s="13" t="s">
        <v>15</v>
      </c>
      <c r="B4" s="1">
        <v>9</v>
      </c>
      <c r="C4" s="14">
        <v>1.500000000000003E-6</v>
      </c>
      <c r="D4" s="14">
        <f>C4/B4</f>
        <v>1.6666666666666699E-7</v>
      </c>
    </row>
    <row r="5" spans="1:4" x14ac:dyDescent="0.35">
      <c r="A5" s="13" t="s">
        <v>16</v>
      </c>
      <c r="B5" s="1">
        <v>20</v>
      </c>
      <c r="C5" s="14">
        <v>2.9999999999999509E-6</v>
      </c>
      <c r="D5" s="14">
        <f>C5/B5</f>
        <v>1.4999999999999756E-7</v>
      </c>
    </row>
    <row r="6" spans="1:4" x14ac:dyDescent="0.35">
      <c r="A6" s="13" t="s">
        <v>17</v>
      </c>
      <c r="B6" s="1">
        <f>SUM(B2:B5)</f>
        <v>39</v>
      </c>
      <c r="C6" s="14">
        <f>SUM(C2:C5)</f>
        <v>1.9094500000000007E-3</v>
      </c>
      <c r="D6" s="14"/>
    </row>
  </sheetData>
  <pageMargins left="0.7" right="0.7" top="0.75" bottom="0.75" header="0.3" footer="0.3"/>
  <headerFooter>
    <oddFooter>&amp;C_x000D_&amp;1#&amp;"Calibri"&amp;6&amp;K626469 General</oddFooter>
  </headerFooter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F4A69-EB98-4457-8213-AE544C6FDDFC}">
  <sheetPr codeName="Sheet7"/>
  <dimension ref="A1:E25"/>
  <sheetViews>
    <sheetView showGridLines="0" tabSelected="1" topLeftCell="A4" zoomScale="106" zoomScaleNormal="70" workbookViewId="0">
      <selection activeCell="D8" sqref="D8"/>
    </sheetView>
  </sheetViews>
  <sheetFormatPr defaultRowHeight="14.5" x14ac:dyDescent="0.35"/>
  <cols>
    <col min="1" max="1" width="19.54296875" style="13" bestFit="1" customWidth="1"/>
    <col min="2" max="2" width="20.81640625" customWidth="1"/>
    <col min="3" max="3" width="19.7265625" bestFit="1" customWidth="1"/>
    <col min="4" max="4" width="15.1796875" bestFit="1" customWidth="1"/>
    <col min="5" max="5" width="10.453125" bestFit="1" customWidth="1"/>
  </cols>
  <sheetData>
    <row r="1" spans="1:5" x14ac:dyDescent="0.35">
      <c r="A1" s="21" t="s">
        <v>18</v>
      </c>
      <c r="B1" s="15"/>
      <c r="C1" s="15"/>
      <c r="D1" s="15"/>
      <c r="E1" s="15"/>
    </row>
    <row r="2" spans="1:5" x14ac:dyDescent="0.35">
      <c r="A2" s="22"/>
      <c r="B2" s="16"/>
      <c r="C2" s="17"/>
      <c r="D2" s="17"/>
      <c r="E2" s="17"/>
    </row>
    <row r="3" spans="1:5" x14ac:dyDescent="0.35">
      <c r="A3" s="23" t="s">
        <v>11</v>
      </c>
      <c r="B3" s="18" t="s">
        <v>19</v>
      </c>
      <c r="C3" s="18" t="s">
        <v>20</v>
      </c>
      <c r="D3" s="17"/>
      <c r="E3" s="17"/>
    </row>
    <row r="4" spans="1:5" x14ac:dyDescent="0.35">
      <c r="A4" s="22" t="s">
        <v>21</v>
      </c>
      <c r="B4" s="16">
        <v>2.7500000000000054E-7</v>
      </c>
      <c r="C4" s="17">
        <v>2.5954958970191163E-3</v>
      </c>
      <c r="D4" s="17"/>
      <c r="E4" s="17"/>
    </row>
    <row r="5" spans="1:5" x14ac:dyDescent="0.35">
      <c r="A5" s="22" t="s">
        <v>22</v>
      </c>
      <c r="B5" s="16">
        <v>1.4999999999999756E-7</v>
      </c>
      <c r="C5" s="17">
        <v>1.4157250347376739E-3</v>
      </c>
      <c r="D5" s="17"/>
      <c r="E5" s="17"/>
    </row>
    <row r="6" spans="1:5" x14ac:dyDescent="0.35">
      <c r="A6" s="22" t="s">
        <v>23</v>
      </c>
      <c r="B6" s="16">
        <v>1.2500000000000296E-7</v>
      </c>
      <c r="C6" s="17">
        <v>1.1797708622814421E-3</v>
      </c>
      <c r="D6" s="17"/>
      <c r="E6" s="17"/>
    </row>
    <row r="7" spans="1:5" x14ac:dyDescent="0.35">
      <c r="A7" s="22" t="s">
        <v>24</v>
      </c>
      <c r="B7" s="16">
        <v>1.0833333333333352E-7</v>
      </c>
      <c r="C7" s="17">
        <v>1.0224680806438942E-3</v>
      </c>
      <c r="D7" s="17"/>
      <c r="E7" s="17"/>
    </row>
    <row r="8" spans="1:5" x14ac:dyDescent="0.35">
      <c r="A8" s="22" t="s">
        <v>25</v>
      </c>
      <c r="B8" s="16">
        <v>1.6666666666669436E-8</v>
      </c>
      <c r="C8" s="17">
        <v>1.5730278163754804E-4</v>
      </c>
      <c r="D8" s="17"/>
      <c r="E8" s="17"/>
    </row>
    <row r="9" spans="1:5" x14ac:dyDescent="0.35">
      <c r="A9" s="22" t="s">
        <v>26</v>
      </c>
      <c r="B9" s="29">
        <v>1.0567777777777781E-4</v>
      </c>
      <c r="C9" s="17">
        <v>0.99740450410298087</v>
      </c>
      <c r="D9" s="17"/>
      <c r="E9" s="17"/>
    </row>
    <row r="10" spans="1:5" ht="15" thickBot="1" x14ac:dyDescent="0.4">
      <c r="A10" s="24" t="s">
        <v>27</v>
      </c>
      <c r="B10" s="30">
        <v>1.0595277777777782E-4</v>
      </c>
      <c r="C10" s="20">
        <v>1</v>
      </c>
      <c r="D10" s="17"/>
      <c r="E10" s="17"/>
    </row>
    <row r="11" spans="1:5" x14ac:dyDescent="0.35">
      <c r="A11" s="22"/>
      <c r="B11" s="16"/>
      <c r="C11" s="17"/>
      <c r="D11" s="17"/>
      <c r="E11" s="17"/>
    </row>
    <row r="12" spans="1:5" x14ac:dyDescent="0.35">
      <c r="A12" s="25" t="s">
        <v>36</v>
      </c>
      <c r="B12" s="16"/>
      <c r="C12" s="17"/>
      <c r="D12" s="17"/>
      <c r="E12" s="17"/>
    </row>
    <row r="13" spans="1:5" x14ac:dyDescent="0.35">
      <c r="A13" s="25"/>
      <c r="B13" s="16"/>
      <c r="C13" s="17"/>
      <c r="D13" s="17"/>
      <c r="E13" s="17"/>
    </row>
    <row r="14" spans="1:5" x14ac:dyDescent="0.35">
      <c r="A14" s="21" t="s">
        <v>28</v>
      </c>
      <c r="B14" s="16"/>
      <c r="C14" s="16"/>
      <c r="D14" s="17"/>
      <c r="E14" s="17"/>
    </row>
    <row r="15" spans="1:5" x14ac:dyDescent="0.35">
      <c r="A15" s="22"/>
      <c r="B15" s="16"/>
      <c r="C15" s="16"/>
      <c r="D15" s="17"/>
      <c r="E15" s="17"/>
    </row>
    <row r="16" spans="1:5" x14ac:dyDescent="0.35">
      <c r="A16" s="23" t="s">
        <v>11</v>
      </c>
      <c r="B16" s="18" t="s">
        <v>29</v>
      </c>
      <c r="C16" s="18" t="s">
        <v>30</v>
      </c>
      <c r="D16" s="18" t="s">
        <v>31</v>
      </c>
      <c r="E16" s="18" t="s">
        <v>32</v>
      </c>
    </row>
    <row r="17" spans="1:5" x14ac:dyDescent="0.35">
      <c r="A17" s="22" t="s">
        <v>33</v>
      </c>
      <c r="B17" s="16">
        <v>1E-3</v>
      </c>
      <c r="C17" s="16">
        <v>3.0000000000000001E-3</v>
      </c>
      <c r="D17" s="17">
        <v>5.094600962802795E-2</v>
      </c>
      <c r="E17" s="17">
        <v>0.10488088481701517</v>
      </c>
    </row>
    <row r="18" spans="1:5" x14ac:dyDescent="0.35">
      <c r="A18" s="22" t="s">
        <v>22</v>
      </c>
      <c r="B18" s="16">
        <v>0</v>
      </c>
      <c r="C18" s="16">
        <v>2E-3</v>
      </c>
      <c r="D18" s="17">
        <v>3.7626121707368058E-2</v>
      </c>
      <c r="E18" s="17">
        <v>7.745966692414763E-2</v>
      </c>
    </row>
    <row r="19" spans="1:5" x14ac:dyDescent="0.35">
      <c r="A19" s="22" t="s">
        <v>23</v>
      </c>
      <c r="B19" s="16">
        <v>0</v>
      </c>
      <c r="C19" s="16">
        <v>2E-3</v>
      </c>
      <c r="D19" s="17">
        <v>3.4347792684267825E-2</v>
      </c>
      <c r="E19" s="17">
        <v>7.0710678118655529E-2</v>
      </c>
    </row>
    <row r="20" spans="1:5" x14ac:dyDescent="0.35">
      <c r="A20" s="22" t="s">
        <v>34</v>
      </c>
      <c r="B20" s="16">
        <v>0</v>
      </c>
      <c r="C20" s="16">
        <v>2E-3</v>
      </c>
      <c r="D20" s="17">
        <v>3.1976054801114762E-2</v>
      </c>
      <c r="E20" s="17">
        <v>6.582805886043834E-2</v>
      </c>
    </row>
    <row r="21" spans="1:5" x14ac:dyDescent="0.35">
      <c r="A21" s="22" t="s">
        <v>35</v>
      </c>
      <c r="B21" s="16">
        <v>0</v>
      </c>
      <c r="C21" s="16">
        <v>1E-3</v>
      </c>
      <c r="D21" s="17">
        <v>1.254204056912383E-2</v>
      </c>
      <c r="E21" s="17">
        <v>2.5819888974718236E-2</v>
      </c>
    </row>
    <row r="22" spans="1:5" x14ac:dyDescent="0.35">
      <c r="A22" s="22" t="s">
        <v>26</v>
      </c>
      <c r="B22" s="16">
        <v>0.01</v>
      </c>
      <c r="C22" s="16">
        <v>6.2E-2</v>
      </c>
      <c r="D22" s="17">
        <v>0.99870140888204462</v>
      </c>
      <c r="E22" s="17">
        <v>2.0559939472457365</v>
      </c>
    </row>
    <row r="23" spans="1:5" ht="15" thickBot="1" x14ac:dyDescent="0.4">
      <c r="A23" s="24" t="s">
        <v>30</v>
      </c>
      <c r="B23" s="19">
        <v>0.01</v>
      </c>
      <c r="C23" s="19">
        <v>6.2E-2</v>
      </c>
      <c r="D23" s="20">
        <v>1</v>
      </c>
      <c r="E23" s="20">
        <v>2.058667314334957</v>
      </c>
    </row>
    <row r="24" spans="1:5" x14ac:dyDescent="0.35">
      <c r="A24" s="26" t="s">
        <v>37</v>
      </c>
    </row>
    <row r="25" spans="1:5" x14ac:dyDescent="0.35">
      <c r="A25" s="26" t="s">
        <v>76</v>
      </c>
    </row>
  </sheetData>
  <pageMargins left="0.7" right="0.7" top="0.75" bottom="0.75" header="0.3" footer="0.3"/>
  <headerFooter>
    <oddFooter>&amp;C_x000D_&amp;1#&amp;"Calibri"&amp;6&amp;K626469 General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56DC6-F8BE-42A3-84FE-E95A82A865C8}">
  <dimension ref="T2:W78"/>
  <sheetViews>
    <sheetView workbookViewId="0"/>
  </sheetViews>
  <sheetFormatPr defaultRowHeight="14.5" x14ac:dyDescent="0.35"/>
  <cols>
    <col min="20" max="20" width="14.90625" bestFit="1" customWidth="1"/>
    <col min="21" max="21" width="22" bestFit="1" customWidth="1"/>
    <col min="22" max="22" width="19.7265625" bestFit="1" customWidth="1"/>
    <col min="23" max="23" width="15.08984375" bestFit="1" customWidth="1"/>
  </cols>
  <sheetData>
    <row r="2" spans="20:23" x14ac:dyDescent="0.35">
      <c r="T2" s="9" t="s">
        <v>38</v>
      </c>
      <c r="U2" s="9" t="s">
        <v>39</v>
      </c>
      <c r="V2" s="9" t="s">
        <v>31</v>
      </c>
      <c r="W2" s="9" t="s">
        <v>32</v>
      </c>
    </row>
    <row r="3" spans="20:23" x14ac:dyDescent="0.35">
      <c r="T3" s="9" t="s">
        <v>21</v>
      </c>
      <c r="U3" s="27">
        <v>2.5954958970191163E-3</v>
      </c>
      <c r="V3" s="27">
        <v>5.094600962802795E-2</v>
      </c>
      <c r="W3" s="27">
        <v>0.10488088481701517</v>
      </c>
    </row>
    <row r="4" spans="20:23" x14ac:dyDescent="0.35">
      <c r="T4" s="9" t="s">
        <v>22</v>
      </c>
      <c r="U4" s="27">
        <v>1.4157250347376739E-3</v>
      </c>
      <c r="V4" s="27">
        <v>3.7626121707368058E-2</v>
      </c>
      <c r="W4" s="27">
        <v>7.745966692414763E-2</v>
      </c>
    </row>
    <row r="5" spans="20:23" x14ac:dyDescent="0.35">
      <c r="T5" s="9" t="s">
        <v>23</v>
      </c>
      <c r="U5" s="27">
        <v>1.1797708622814421E-3</v>
      </c>
      <c r="V5" s="27">
        <v>3.4347792684267825E-2</v>
      </c>
      <c r="W5" s="27">
        <v>7.0710678118655529E-2</v>
      </c>
    </row>
    <row r="6" spans="20:23" x14ac:dyDescent="0.35">
      <c r="T6" s="9" t="s">
        <v>26</v>
      </c>
      <c r="U6" s="27">
        <v>0.99740450410298087</v>
      </c>
      <c r="V6" s="27">
        <v>0.99870140888204462</v>
      </c>
      <c r="W6" s="27">
        <v>2.0559939472457365</v>
      </c>
    </row>
    <row r="8" spans="20:23" x14ac:dyDescent="0.35">
      <c r="T8" t="s">
        <v>9</v>
      </c>
      <c r="U8" t="s">
        <v>40</v>
      </c>
    </row>
    <row r="9" spans="20:23" x14ac:dyDescent="0.35">
      <c r="T9" t="s">
        <v>4</v>
      </c>
      <c r="U9">
        <v>0.2392</v>
      </c>
    </row>
    <row r="10" spans="20:23" x14ac:dyDescent="0.35">
      <c r="T10" t="s">
        <v>5</v>
      </c>
      <c r="U10">
        <v>0.23499999999999999</v>
      </c>
    </row>
    <row r="11" spans="20:23" x14ac:dyDescent="0.35">
      <c r="T11" t="s">
        <v>6</v>
      </c>
      <c r="U11">
        <v>0.2412</v>
      </c>
    </row>
    <row r="12" spans="20:23" x14ac:dyDescent="0.35">
      <c r="T12" t="s">
        <v>7</v>
      </c>
      <c r="U12">
        <v>0.26300000000000001</v>
      </c>
    </row>
    <row r="13" spans="20:23" x14ac:dyDescent="0.35">
      <c r="T13" t="s">
        <v>58</v>
      </c>
      <c r="U13">
        <v>0.26019999999999999</v>
      </c>
    </row>
    <row r="14" spans="20:23" x14ac:dyDescent="0.35">
      <c r="T14" t="s">
        <v>61</v>
      </c>
      <c r="U14">
        <v>0.254</v>
      </c>
    </row>
    <row r="15" spans="20:23" x14ac:dyDescent="0.35">
      <c r="T15" t="s">
        <v>62</v>
      </c>
      <c r="U15">
        <v>0.24349999999999999</v>
      </c>
    </row>
    <row r="16" spans="20:23" x14ac:dyDescent="0.35">
      <c r="T16" t="s">
        <v>63</v>
      </c>
      <c r="U16">
        <v>0.251</v>
      </c>
    </row>
    <row r="17" spans="20:21" x14ac:dyDescent="0.35">
      <c r="T17" t="s">
        <v>64</v>
      </c>
      <c r="U17">
        <v>0.25750000000000001</v>
      </c>
    </row>
    <row r="18" spans="20:21" x14ac:dyDescent="0.35">
      <c r="T18" t="s">
        <v>65</v>
      </c>
      <c r="U18">
        <v>0.26219999999999999</v>
      </c>
    </row>
    <row r="20" spans="20:21" x14ac:dyDescent="0.35">
      <c r="T20" s="28" t="s">
        <v>41</v>
      </c>
      <c r="U20" s="28" t="s">
        <v>42</v>
      </c>
    </row>
    <row r="21" spans="20:21" x14ac:dyDescent="0.35">
      <c r="T21" s="9" t="s">
        <v>54</v>
      </c>
      <c r="U21" s="9">
        <v>1E-3</v>
      </c>
    </row>
    <row r="22" spans="20:21" x14ac:dyDescent="0.35">
      <c r="T22" s="9" t="s">
        <v>55</v>
      </c>
      <c r="U22" s="9">
        <v>1E-3</v>
      </c>
    </row>
    <row r="23" spans="20:21" x14ac:dyDescent="0.35">
      <c r="T23" s="9" t="s">
        <v>56</v>
      </c>
      <c r="U23" s="9">
        <v>1E-3</v>
      </c>
    </row>
    <row r="24" spans="20:21" x14ac:dyDescent="0.35">
      <c r="T24" s="9" t="s">
        <v>57</v>
      </c>
      <c r="U24" s="9">
        <v>0</v>
      </c>
    </row>
    <row r="25" spans="20:21" x14ac:dyDescent="0.35">
      <c r="T25" s="9" t="s">
        <v>59</v>
      </c>
      <c r="U25" s="9">
        <v>1E-3</v>
      </c>
    </row>
    <row r="26" spans="20:21" x14ac:dyDescent="0.35">
      <c r="T26" s="9" t="s">
        <v>66</v>
      </c>
      <c r="U26" s="9">
        <v>0</v>
      </c>
    </row>
    <row r="27" spans="20:21" x14ac:dyDescent="0.35">
      <c r="T27" s="9" t="s">
        <v>67</v>
      </c>
      <c r="U27" s="9">
        <v>0</v>
      </c>
    </row>
    <row r="28" spans="20:21" x14ac:dyDescent="0.35">
      <c r="T28" s="9" t="s">
        <v>68</v>
      </c>
      <c r="U28" s="9">
        <v>0</v>
      </c>
    </row>
    <row r="29" spans="20:21" x14ac:dyDescent="0.35">
      <c r="T29" s="9" t="s">
        <v>69</v>
      </c>
      <c r="U29" s="9">
        <v>0</v>
      </c>
    </row>
    <row r="30" spans="20:21" x14ac:dyDescent="0.35">
      <c r="T30" s="9" t="s">
        <v>70</v>
      </c>
      <c r="U30" s="9">
        <v>1E-3</v>
      </c>
    </row>
    <row r="31" spans="20:21" x14ac:dyDescent="0.35">
      <c r="T31" s="9" t="s">
        <v>43</v>
      </c>
      <c r="U31" s="9">
        <v>0</v>
      </c>
    </row>
    <row r="32" spans="20:21" x14ac:dyDescent="0.35">
      <c r="T32" s="9" t="s">
        <v>44</v>
      </c>
      <c r="U32" s="9">
        <v>1E-3</v>
      </c>
    </row>
    <row r="33" spans="20:21" x14ac:dyDescent="0.35">
      <c r="T33" s="9" t="s">
        <v>45</v>
      </c>
      <c r="U33" s="9">
        <v>0</v>
      </c>
    </row>
    <row r="34" spans="20:21" x14ac:dyDescent="0.35">
      <c r="T34" s="9" t="s">
        <v>46</v>
      </c>
      <c r="U34" s="9">
        <v>0</v>
      </c>
    </row>
    <row r="35" spans="20:21" x14ac:dyDescent="0.35">
      <c r="T35" s="9" t="s">
        <v>60</v>
      </c>
      <c r="U35" s="9">
        <v>0</v>
      </c>
    </row>
    <row r="36" spans="20:21" x14ac:dyDescent="0.35">
      <c r="T36" s="9" t="s">
        <v>71</v>
      </c>
      <c r="U36" s="9">
        <v>0</v>
      </c>
    </row>
    <row r="37" spans="20:21" x14ac:dyDescent="0.35">
      <c r="T37" s="9" t="s">
        <v>72</v>
      </c>
      <c r="U37" s="9">
        <v>0</v>
      </c>
    </row>
    <row r="38" spans="20:21" x14ac:dyDescent="0.35">
      <c r="T38" s="9" t="s">
        <v>73</v>
      </c>
      <c r="U38" s="9">
        <v>0</v>
      </c>
    </row>
    <row r="39" spans="20:21" x14ac:dyDescent="0.35">
      <c r="T39" s="9" t="s">
        <v>74</v>
      </c>
      <c r="U39" s="9">
        <v>0</v>
      </c>
    </row>
    <row r="40" spans="20:21" x14ac:dyDescent="0.35">
      <c r="T40" s="9" t="s">
        <v>75</v>
      </c>
      <c r="U40" s="9">
        <v>0</v>
      </c>
    </row>
    <row r="42" spans="20:21" x14ac:dyDescent="0.35">
      <c r="T42" s="28" t="s">
        <v>41</v>
      </c>
      <c r="U42" s="28" t="s">
        <v>47</v>
      </c>
    </row>
    <row r="43" spans="20:21" x14ac:dyDescent="0.35">
      <c r="T43" s="9" t="s">
        <v>54</v>
      </c>
      <c r="U43" s="9">
        <v>0.23949999999999999</v>
      </c>
    </row>
    <row r="44" spans="20:21" x14ac:dyDescent="0.35">
      <c r="T44" s="9" t="s">
        <v>55</v>
      </c>
      <c r="U44" s="9">
        <v>0.23549999999999999</v>
      </c>
    </row>
    <row r="45" spans="20:21" x14ac:dyDescent="0.35">
      <c r="T45" s="9" t="s">
        <v>56</v>
      </c>
      <c r="U45" s="9">
        <v>0.24149999999999999</v>
      </c>
    </row>
    <row r="46" spans="20:21" x14ac:dyDescent="0.35">
      <c r="T46" s="9" t="s">
        <v>57</v>
      </c>
      <c r="U46" s="9">
        <v>0.26300000000000001</v>
      </c>
    </row>
    <row r="47" spans="20:21" x14ac:dyDescent="0.35">
      <c r="T47" s="9" t="s">
        <v>59</v>
      </c>
      <c r="U47" s="9">
        <v>0.26050000000000001</v>
      </c>
    </row>
    <row r="48" spans="20:21" x14ac:dyDescent="0.35">
      <c r="T48" s="9" t="s">
        <v>66</v>
      </c>
      <c r="U48" s="9">
        <v>0.254</v>
      </c>
    </row>
    <row r="49" spans="20:22" x14ac:dyDescent="0.35">
      <c r="T49" s="9" t="s">
        <v>67</v>
      </c>
      <c r="U49" s="9">
        <v>0.24399999999999999</v>
      </c>
    </row>
    <row r="50" spans="20:22" x14ac:dyDescent="0.35">
      <c r="T50" s="9" t="s">
        <v>68</v>
      </c>
      <c r="U50" s="9">
        <v>0.251</v>
      </c>
    </row>
    <row r="51" spans="20:22" x14ac:dyDescent="0.35">
      <c r="T51" s="9" t="s">
        <v>69</v>
      </c>
      <c r="U51" s="9">
        <v>0.25800000000000001</v>
      </c>
    </row>
    <row r="52" spans="20:22" x14ac:dyDescent="0.35">
      <c r="T52" s="9" t="s">
        <v>70</v>
      </c>
      <c r="U52" s="9">
        <v>0.26250000000000001</v>
      </c>
    </row>
    <row r="53" spans="20:22" x14ac:dyDescent="0.35">
      <c r="T53" s="9" t="s">
        <v>43</v>
      </c>
      <c r="U53" s="9">
        <v>0.23899999999999999</v>
      </c>
    </row>
    <row r="54" spans="20:22" x14ac:dyDescent="0.35">
      <c r="T54" s="9" t="s">
        <v>44</v>
      </c>
      <c r="U54" s="9">
        <v>0.23449999999999999</v>
      </c>
    </row>
    <row r="55" spans="20:22" x14ac:dyDescent="0.35">
      <c r="T55" s="9" t="s">
        <v>45</v>
      </c>
      <c r="U55" s="9">
        <v>0.24099999999999999</v>
      </c>
    </row>
    <row r="56" spans="20:22" x14ac:dyDescent="0.35">
      <c r="T56" s="9" t="s">
        <v>46</v>
      </c>
      <c r="U56" s="9">
        <v>0.26300000000000001</v>
      </c>
    </row>
    <row r="57" spans="20:22" x14ac:dyDescent="0.35">
      <c r="T57" s="9" t="s">
        <v>60</v>
      </c>
      <c r="U57" s="9">
        <v>0.26</v>
      </c>
    </row>
    <row r="58" spans="20:22" x14ac:dyDescent="0.35">
      <c r="T58" s="9" t="s">
        <v>71</v>
      </c>
      <c r="U58" s="9">
        <v>0.254</v>
      </c>
    </row>
    <row r="59" spans="20:22" x14ac:dyDescent="0.35">
      <c r="T59" s="9" t="s">
        <v>72</v>
      </c>
      <c r="U59" s="9">
        <v>0.24299999999999999</v>
      </c>
    </row>
    <row r="60" spans="20:22" x14ac:dyDescent="0.35">
      <c r="T60" s="9" t="s">
        <v>73</v>
      </c>
      <c r="U60" s="9">
        <v>0.251</v>
      </c>
    </row>
    <row r="61" spans="20:22" x14ac:dyDescent="0.35">
      <c r="T61" s="9" t="s">
        <v>74</v>
      </c>
      <c r="U61" s="9">
        <v>0.25700000000000001</v>
      </c>
    </row>
    <row r="62" spans="20:22" x14ac:dyDescent="0.35">
      <c r="T62" s="9" t="s">
        <v>75</v>
      </c>
      <c r="U62" s="9">
        <v>0.26200000000000001</v>
      </c>
    </row>
    <row r="64" spans="20:22" x14ac:dyDescent="0.35">
      <c r="T64" t="s">
        <v>9</v>
      </c>
      <c r="U64" t="s">
        <v>8</v>
      </c>
      <c r="V64" t="s">
        <v>53</v>
      </c>
    </row>
    <row r="65" spans="20:22" x14ac:dyDescent="0.35">
      <c r="T65" t="s">
        <v>4</v>
      </c>
      <c r="U65">
        <v>0.23899999999999999</v>
      </c>
      <c r="V65">
        <v>0.23949999999999999</v>
      </c>
    </row>
    <row r="66" spans="20:22" x14ac:dyDescent="0.35">
      <c r="T66" t="s">
        <v>5</v>
      </c>
      <c r="U66">
        <v>0.23449999999999999</v>
      </c>
      <c r="V66">
        <v>0.23549999999999999</v>
      </c>
    </row>
    <row r="67" spans="20:22" x14ac:dyDescent="0.35">
      <c r="T67" t="s">
        <v>6</v>
      </c>
      <c r="U67">
        <v>0.24099999999999999</v>
      </c>
      <c r="V67">
        <v>0.24149999999999999</v>
      </c>
    </row>
    <row r="68" spans="20:22" x14ac:dyDescent="0.35">
      <c r="T68" t="s">
        <v>7</v>
      </c>
      <c r="U68">
        <v>0.26300000000000001</v>
      </c>
      <c r="V68">
        <v>0.26300000000000001</v>
      </c>
    </row>
    <row r="69" spans="20:22" x14ac:dyDescent="0.35">
      <c r="T69" t="s">
        <v>58</v>
      </c>
      <c r="U69">
        <v>0.26</v>
      </c>
      <c r="V69">
        <v>0.26050000000000001</v>
      </c>
    </row>
    <row r="70" spans="20:22" x14ac:dyDescent="0.35">
      <c r="T70" t="s">
        <v>61</v>
      </c>
      <c r="U70">
        <v>0.254</v>
      </c>
      <c r="V70">
        <v>0.254</v>
      </c>
    </row>
    <row r="71" spans="20:22" x14ac:dyDescent="0.35">
      <c r="T71" t="s">
        <v>62</v>
      </c>
      <c r="U71">
        <v>0.24299999999999999</v>
      </c>
      <c r="V71">
        <v>0.24399999999999999</v>
      </c>
    </row>
    <row r="72" spans="20:22" x14ac:dyDescent="0.35">
      <c r="T72" t="s">
        <v>63</v>
      </c>
      <c r="U72">
        <v>0.251</v>
      </c>
      <c r="V72">
        <v>0.251</v>
      </c>
    </row>
    <row r="73" spans="20:22" x14ac:dyDescent="0.35">
      <c r="T73" t="s">
        <v>64</v>
      </c>
      <c r="U73">
        <v>0.25700000000000001</v>
      </c>
      <c r="V73">
        <v>0.25800000000000001</v>
      </c>
    </row>
    <row r="74" spans="20:22" x14ac:dyDescent="0.35">
      <c r="T74" t="s">
        <v>65</v>
      </c>
      <c r="U74">
        <v>0.26200000000000001</v>
      </c>
      <c r="V74">
        <v>0.26250000000000001</v>
      </c>
    </row>
    <row r="76" spans="20:22" x14ac:dyDescent="0.35">
      <c r="T76" t="s">
        <v>48</v>
      </c>
      <c r="U76" t="s">
        <v>49</v>
      </c>
      <c r="V76" t="s">
        <v>50</v>
      </c>
    </row>
    <row r="77" spans="20:22" x14ac:dyDescent="0.35">
      <c r="T77" t="s">
        <v>51</v>
      </c>
      <c r="U77">
        <v>5.094600962802795E-2</v>
      </c>
      <c r="V77">
        <v>0.94905399037197202</v>
      </c>
    </row>
    <row r="78" spans="20:22" x14ac:dyDescent="0.35">
      <c r="T78" t="s">
        <v>52</v>
      </c>
      <c r="U78">
        <v>0.10488088481701517</v>
      </c>
      <c r="V78">
        <v>0.89511911518298481</v>
      </c>
    </row>
  </sheetData>
  <pageMargins left="0.7" right="0.7" top="0.75" bottom="0.75" header="0.3" footer="0.3"/>
  <drawing r:id="rId1"/>
  <tableParts count="6">
    <tablePart r:id="rId2"/>
    <tablePart r:id="rId3"/>
    <tablePart r:id="rId4"/>
    <tablePart r:id="rId5"/>
    <tablePart r:id="rId6"/>
    <tablePart r:id="rId7"/>
  </tableParts>
</worksheet>
</file>

<file path=docMetadata/LabelInfo.xml><?xml version="1.0" encoding="utf-8"?>
<clbl:labelList xmlns:clbl="http://schemas.microsoft.com/office/2020/mipLabelMetadata">
  <clbl:label id="{57443d00-af18-408c-9335-47b5de3ec9b9}" enabled="1" method="Privileged" siteId="{6e51e1ad-c54b-4b39-b598-0ffe9ae68fef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MSA_Control</vt:lpstr>
      <vt:lpstr>MSA_Datos</vt:lpstr>
      <vt:lpstr>MP_Calculos</vt:lpstr>
      <vt:lpstr>MO_Calculos</vt:lpstr>
      <vt:lpstr>MPO_Calculos</vt:lpstr>
      <vt:lpstr>SS_Calculos</vt:lpstr>
      <vt:lpstr>Varianza</vt:lpstr>
      <vt:lpstr>Graficos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ALBERTO FLORES</dc:creator>
  <cp:lastModifiedBy>DAVID ALBERTO FLORES</cp:lastModifiedBy>
  <cp:lastPrinted>2025-10-08T22:15:27Z</cp:lastPrinted>
  <dcterms:created xsi:type="dcterms:W3CDTF">2025-09-30T14:52:53Z</dcterms:created>
  <dcterms:modified xsi:type="dcterms:W3CDTF">2025-11-21T12:56:45Z</dcterms:modified>
</cp:coreProperties>
</file>